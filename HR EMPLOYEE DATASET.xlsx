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8.xml" ContentType="application/vnd.openxmlformats-officedocument.drawing+xml"/>
  <Override PartName="/xl/tables/table2.xml" ContentType="application/vnd.openxmlformats-officedocument.spreadsheetml.tab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81603b8156e7d5af/Desktop/EXCEL DASHBOARDS/MY DASHBOARD PROJECTS/"/>
    </mc:Choice>
  </mc:AlternateContent>
  <xr:revisionPtr revIDLastSave="9" documentId="8_{21684E85-B13B-498D-860C-5CD90F1B998D}" xr6:coauthVersionLast="47" xr6:coauthVersionMax="47" xr10:uidLastSave="{FC0CC893-D194-4741-AE95-9A2217CAF03C}"/>
  <bookViews>
    <workbookView xWindow="-110" yWindow="-110" windowWidth="19420" windowHeight="10420" firstSheet="8" activeTab="10" xr2:uid="{F0C0773E-BB75-4909-8A34-3546D6D4778D}"/>
  </bookViews>
  <sheets>
    <sheet name="Dpt Headcount" sheetId="4" r:id="rId1"/>
    <sheet name="Salary Distribution" sheetId="6" r:id="rId2"/>
    <sheet name="Employment Type Breakdown" sheetId="9" r:id="rId3"/>
    <sheet name="Avereage Salary by Dpt" sheetId="11" r:id="rId4"/>
    <sheet name="Age_Distribution" sheetId="12" r:id="rId5"/>
    <sheet name="Hiring Trend" sheetId="15" r:id="rId6"/>
    <sheet name="GENDER HEADCOUNT" sheetId="20" r:id="rId7"/>
    <sheet name="HR_EMPLOYEE_DATASET" sheetId="1" r:id="rId8"/>
    <sheet name="DASHBOARD" sheetId="14" r:id="rId9"/>
    <sheet name="VALUES FOR DISPLAY" sheetId="17" r:id="rId10"/>
    <sheet name="ATTRITION RATE" sheetId="22" r:id="rId11"/>
    <sheet name="Calculations" sheetId="2" r:id="rId12"/>
  </sheets>
  <definedNames>
    <definedName name="_xlcn.WorksheetConnection_hr_employee_dataset.csvEmpData" hidden="1">EmpData[]</definedName>
    <definedName name="_xlcn.WorksheetConnection_HREMPLOYEEDATASET.xlsxTable2" hidden="1">Table2[]</definedName>
    <definedName name="Slicer_Age_Group">#N/A</definedName>
    <definedName name="Slicer_Department">#N/A</definedName>
    <definedName name="Slicer_Employment_Type">#N/A</definedName>
    <definedName name="Slicer_Gender1">#N/A</definedName>
    <definedName name="Slicer_Status">#N/A</definedName>
  </definedNames>
  <calcPr calcId="191029"/>
  <pivotCaches>
    <pivotCache cacheId="10" r:id="rId13"/>
    <pivotCache cacheId="11" r:id="rId14"/>
    <pivotCache cacheId="12" r:id="rId15"/>
    <pivotCache cacheId="13" r:id="rId16"/>
    <pivotCache cacheId="14" r:id="rId17"/>
    <pivotCache cacheId="15" r:id="rId18"/>
    <pivotCache cacheId="16" r:id="rId19"/>
    <pivotCache cacheId="17" r:id="rId20"/>
    <pivotCache cacheId="18" r:id="rId21"/>
  </pivotCaches>
  <extLst>
    <ext xmlns:x14="http://schemas.microsoft.com/office/spreadsheetml/2009/9/main" uri="{876F7934-8845-4945-9796-88D515C7AA90}">
      <x14:pivotCaches>
        <pivotCache cacheId="19" r:id="rId22"/>
      </x14:pivotCaches>
    </ext>
    <ext xmlns:x14="http://schemas.microsoft.com/office/spreadsheetml/2009/9/main" uri="{BBE1A952-AA13-448e-AADC-164F8A28A991}">
      <x14:slicerCaches>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EmpData" name="EmpData" connection="WorksheetConnection_hr_employee_dataset.csv!EmpData"/>
          <x15:modelTable id="Table2" name="Table2" connection="WorksheetConnection_HR EMPLOYEE DATASET.xlsx!Table2"/>
        </x15:modelTables>
        <x15:extLst>
          <ext xmlns:x16="http://schemas.microsoft.com/office/spreadsheetml/2014/11/main" uri="{9835A34E-60A6-4A7C-AAB8-D5F71C897F49}">
            <x16:modelTimeGroupings>
              <x16:modelTimeGrouping tableName="EmpData" columnName="Hire_Date" columnId="Hire_Date">
                <x16:calculatedTimeColumn columnName="Hire_Date (Year)" columnId="Hire_Date (Year)" contentType="years" isSelected="1"/>
                <x16:calculatedTimeColumn columnName="Hire_Date (Quarter)" columnId="Hire_Date (Quarter)" contentType="quarters" isSelected="1"/>
                <x16:calculatedTimeColumn columnName="Hire_Date (Month Index)" columnId="Hire_Date (Month Index)" contentType="monthsindex" isSelected="1"/>
                <x16:calculatedTimeColumn columnName="Hire_Date (Month)" columnId="Hire_Date (Month)" contentType="months" isSelected="1"/>
              </x16:modelTimeGrouping>
            </x16:modelTimeGroupings>
          </ext>
        </x15:extLst>
      </x15:dataModel>
    </ext>
  </extLst>
</workbook>
</file>

<file path=xl/calcChain.xml><?xml version="1.0" encoding="utf-8"?>
<calcChain xmlns="http://schemas.openxmlformats.org/spreadsheetml/2006/main">
  <c r="A13" i="2" l="1"/>
  <c r="K4" i="17"/>
  <c r="J4" i="17"/>
  <c r="G4" i="17"/>
  <c r="H4" i="17"/>
  <c r="I4" i="17"/>
  <c r="I12" i="17"/>
  <c r="H12" i="17"/>
  <c r="N2" i="1"/>
  <c r="P2" i="1" s="1"/>
  <c r="F3" i="2"/>
  <c r="F4" i="2"/>
  <c r="F5" i="2"/>
  <c r="F6" i="2"/>
  <c r="F7" i="2"/>
  <c r="F8" i="2"/>
  <c r="F2" i="2"/>
  <c r="F9" i="2" s="1"/>
  <c r="E3" i="2"/>
  <c r="G3" i="2" s="1"/>
  <c r="E4" i="2"/>
  <c r="G4" i="2" s="1"/>
  <c r="E5" i="2"/>
  <c r="G5" i="2" s="1"/>
  <c r="E6" i="2"/>
  <c r="G6" i="2" s="1"/>
  <c r="E7" i="2"/>
  <c r="G7" i="2" s="1"/>
  <c r="E8" i="2"/>
  <c r="G8" i="2" s="1"/>
  <c r="E2" i="2"/>
  <c r="G2" i="2" s="1"/>
  <c r="N4" i="1"/>
  <c r="P4" i="1" s="1"/>
  <c r="N3" i="1"/>
  <c r="P3" i="1" s="1"/>
  <c r="N5" i="1"/>
  <c r="P5" i="1" s="1"/>
  <c r="N6" i="1"/>
  <c r="P6" i="1" s="1"/>
  <c r="N7" i="1"/>
  <c r="P7" i="1" s="1"/>
  <c r="N8" i="1"/>
  <c r="P8" i="1" s="1"/>
  <c r="N9" i="1"/>
  <c r="P9" i="1" s="1"/>
  <c r="N10" i="1"/>
  <c r="P10" i="1" s="1"/>
  <c r="N11" i="1"/>
  <c r="P11" i="1" s="1"/>
  <c r="N12" i="1"/>
  <c r="P12" i="1" s="1"/>
  <c r="N13" i="1"/>
  <c r="P13" i="1" s="1"/>
  <c r="N14" i="1"/>
  <c r="P14" i="1" s="1"/>
  <c r="N15" i="1"/>
  <c r="P15" i="1" s="1"/>
  <c r="N16" i="1"/>
  <c r="P16" i="1" s="1"/>
  <c r="N17" i="1"/>
  <c r="P17" i="1" s="1"/>
  <c r="N18" i="1"/>
  <c r="P18" i="1" s="1"/>
  <c r="N19" i="1"/>
  <c r="P19" i="1" s="1"/>
  <c r="N20" i="1"/>
  <c r="P20" i="1" s="1"/>
  <c r="N21" i="1"/>
  <c r="P21" i="1" s="1"/>
  <c r="N22" i="1"/>
  <c r="P22" i="1" s="1"/>
  <c r="N23" i="1"/>
  <c r="P23" i="1" s="1"/>
  <c r="N24" i="1"/>
  <c r="P24" i="1" s="1"/>
  <c r="N25" i="1"/>
  <c r="P25" i="1" s="1"/>
  <c r="N26" i="1"/>
  <c r="P26" i="1" s="1"/>
  <c r="N27" i="1"/>
  <c r="P27" i="1" s="1"/>
  <c r="N28" i="1"/>
  <c r="P28" i="1" s="1"/>
  <c r="N29" i="1"/>
  <c r="P29" i="1" s="1"/>
  <c r="N30" i="1"/>
  <c r="P30" i="1" s="1"/>
  <c r="N31" i="1"/>
  <c r="P31" i="1" s="1"/>
  <c r="N32" i="1"/>
  <c r="P32" i="1" s="1"/>
  <c r="N33" i="1"/>
  <c r="P33" i="1" s="1"/>
  <c r="N34" i="1"/>
  <c r="P34" i="1" s="1"/>
  <c r="N35" i="1"/>
  <c r="P35" i="1" s="1"/>
  <c r="N36" i="1"/>
  <c r="P36" i="1" s="1"/>
  <c r="N37" i="1"/>
  <c r="P37" i="1" s="1"/>
  <c r="N38" i="1"/>
  <c r="P38" i="1" s="1"/>
  <c r="N39" i="1"/>
  <c r="P39" i="1" s="1"/>
  <c r="N40" i="1"/>
  <c r="P40" i="1" s="1"/>
  <c r="N41" i="1"/>
  <c r="P41" i="1" s="1"/>
  <c r="N42" i="1"/>
  <c r="P42" i="1" s="1"/>
  <c r="N43" i="1"/>
  <c r="P43" i="1" s="1"/>
  <c r="N44" i="1"/>
  <c r="P44" i="1" s="1"/>
  <c r="N45" i="1"/>
  <c r="P45" i="1" s="1"/>
  <c r="N46" i="1"/>
  <c r="P46" i="1" s="1"/>
  <c r="N47" i="1"/>
  <c r="P47" i="1" s="1"/>
  <c r="N48" i="1"/>
  <c r="P48" i="1" s="1"/>
  <c r="N49" i="1"/>
  <c r="P49" i="1" s="1"/>
  <c r="N50" i="1"/>
  <c r="P50" i="1" s="1"/>
  <c r="N51" i="1"/>
  <c r="P51" i="1" s="1"/>
  <c r="N52" i="1"/>
  <c r="P52" i="1" s="1"/>
  <c r="N53" i="1"/>
  <c r="P53" i="1" s="1"/>
  <c r="N54" i="1"/>
  <c r="P54" i="1" s="1"/>
  <c r="N55" i="1"/>
  <c r="P55" i="1" s="1"/>
  <c r="N56" i="1"/>
  <c r="P56" i="1" s="1"/>
  <c r="N57" i="1"/>
  <c r="P57" i="1" s="1"/>
  <c r="N58" i="1"/>
  <c r="P58" i="1" s="1"/>
  <c r="N59" i="1"/>
  <c r="P59" i="1" s="1"/>
  <c r="N60" i="1"/>
  <c r="P60" i="1" s="1"/>
  <c r="N61" i="1"/>
  <c r="P61" i="1" s="1"/>
  <c r="N62" i="1"/>
  <c r="P62" i="1" s="1"/>
  <c r="N63" i="1"/>
  <c r="P63" i="1" s="1"/>
  <c r="N64" i="1"/>
  <c r="P64" i="1" s="1"/>
  <c r="N65" i="1"/>
  <c r="P65" i="1" s="1"/>
  <c r="N66" i="1"/>
  <c r="P66" i="1" s="1"/>
  <c r="N67" i="1"/>
  <c r="P67" i="1" s="1"/>
  <c r="N68" i="1"/>
  <c r="P68" i="1" s="1"/>
  <c r="N69" i="1"/>
  <c r="P69" i="1" s="1"/>
  <c r="N70" i="1"/>
  <c r="P70" i="1" s="1"/>
  <c r="N71" i="1"/>
  <c r="P71" i="1" s="1"/>
  <c r="N72" i="1"/>
  <c r="P72" i="1" s="1"/>
  <c r="N73" i="1"/>
  <c r="P73" i="1" s="1"/>
  <c r="N74" i="1"/>
  <c r="P74" i="1" s="1"/>
  <c r="N75" i="1"/>
  <c r="P75" i="1" s="1"/>
  <c r="N76" i="1"/>
  <c r="P76" i="1" s="1"/>
  <c r="N77" i="1"/>
  <c r="P77" i="1" s="1"/>
  <c r="N78" i="1"/>
  <c r="P78" i="1" s="1"/>
  <c r="N79" i="1"/>
  <c r="P79" i="1" s="1"/>
  <c r="N80" i="1"/>
  <c r="P80" i="1" s="1"/>
  <c r="N81" i="1"/>
  <c r="P81" i="1" s="1"/>
  <c r="N82" i="1"/>
  <c r="P82" i="1" s="1"/>
  <c r="N83" i="1"/>
  <c r="P83" i="1" s="1"/>
  <c r="N84" i="1"/>
  <c r="P84" i="1" s="1"/>
  <c r="N85" i="1"/>
  <c r="P85" i="1" s="1"/>
  <c r="N86" i="1"/>
  <c r="P86" i="1" s="1"/>
  <c r="N87" i="1"/>
  <c r="P87" i="1" s="1"/>
  <c r="N88" i="1"/>
  <c r="P88" i="1" s="1"/>
  <c r="N89" i="1"/>
  <c r="P89" i="1" s="1"/>
  <c r="N90" i="1"/>
  <c r="P90" i="1" s="1"/>
  <c r="N91" i="1"/>
  <c r="P91" i="1" s="1"/>
  <c r="N92" i="1"/>
  <c r="P92" i="1" s="1"/>
  <c r="N93" i="1"/>
  <c r="P93" i="1" s="1"/>
  <c r="N94" i="1"/>
  <c r="P94" i="1" s="1"/>
  <c r="N95" i="1"/>
  <c r="P95" i="1" s="1"/>
  <c r="N96" i="1"/>
  <c r="P96" i="1" s="1"/>
  <c r="N97" i="1"/>
  <c r="P97" i="1" s="1"/>
  <c r="N98" i="1"/>
  <c r="P98" i="1" s="1"/>
  <c r="N99" i="1"/>
  <c r="P99" i="1" s="1"/>
  <c r="N100" i="1"/>
  <c r="P100" i="1" s="1"/>
  <c r="N101" i="1"/>
  <c r="P101" i="1" s="1"/>
  <c r="S3" i="1"/>
  <c r="B9" i="2"/>
  <c r="B8" i="2"/>
  <c r="B5" i="2"/>
  <c r="B7" i="2"/>
  <c r="B6" i="2"/>
  <c r="B1" i="2"/>
  <c r="B4" i="2"/>
  <c r="Q101"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2" i="1"/>
  <c r="S2" i="1" s="1"/>
  <c r="B2" i="2" l="1"/>
  <c r="B3" i="2"/>
  <c r="B10"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26FDDF-89CE-4C0C-9255-4659F7AA8A7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0C53F3B-3B0A-4495-849D-89288EE9F4A0}" name="WorksheetConnection_HR EMPLOYEE DATASET.xlsx!Table2" type="102" refreshedVersion="8" minRefreshableVersion="5">
    <extLst>
      <ext xmlns:x15="http://schemas.microsoft.com/office/spreadsheetml/2010/11/main" uri="{DE250136-89BD-433C-8126-D09CA5730AF9}">
        <x15:connection id="Table2">
          <x15:rangePr sourceName="_xlcn.WorksheetConnection_HREMPLOYEEDATASET.xlsxTable2"/>
        </x15:connection>
      </ext>
    </extLst>
  </connection>
  <connection id="3" xr16:uid="{329DD18B-C7AF-4F4A-A29D-2E15EE99A3EB}" name="WorksheetConnection_hr_employee_dataset.csv!EmpData" type="102" refreshedVersion="8" minRefreshableVersion="5">
    <extLst>
      <ext xmlns:x15="http://schemas.microsoft.com/office/spreadsheetml/2010/11/main" uri="{DE250136-89BD-433C-8126-D09CA5730AF9}">
        <x15:connection id="EmpData" autoDelete="1">
          <x15:rangePr sourceName="_xlcn.WorksheetConnection_hr_employee_dataset.csvEmpData"/>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EmpData].[Status].[All]}"/>
  </metadataStrings>
  <mdxMetadata count="1">
    <mdx n="0" f="s">
      <ms ns="1" c="0"/>
    </mdx>
  </mdxMetadata>
  <valueMetadata count="1">
    <bk>
      <rc t="1" v="0"/>
    </bk>
  </valueMetadata>
</metadata>
</file>

<file path=xl/sharedStrings.xml><?xml version="1.0" encoding="utf-8"?>
<sst xmlns="http://schemas.openxmlformats.org/spreadsheetml/2006/main" count="934" uniqueCount="230">
  <si>
    <t>Employee_ID</t>
  </si>
  <si>
    <t>First_Name</t>
  </si>
  <si>
    <t>Last_Name</t>
  </si>
  <si>
    <t>Gender</t>
  </si>
  <si>
    <t>Age</t>
  </si>
  <si>
    <t>Department</t>
  </si>
  <si>
    <t>Job_Title</t>
  </si>
  <si>
    <t>Hire_Date</t>
  </si>
  <si>
    <t>Exit_Date</t>
  </si>
  <si>
    <t>Salary</t>
  </si>
  <si>
    <t>Location</t>
  </si>
  <si>
    <t>Employment_Type</t>
  </si>
  <si>
    <t>Performance_Score</t>
  </si>
  <si>
    <t>E1000</t>
  </si>
  <si>
    <t>Queen</t>
  </si>
  <si>
    <t>Otieno</t>
  </si>
  <si>
    <t>Male</t>
  </si>
  <si>
    <t>IT</t>
  </si>
  <si>
    <t>Systems Analyst</t>
  </si>
  <si>
    <t>Kisumu</t>
  </si>
  <si>
    <t>Part-time</t>
  </si>
  <si>
    <t>E1001</t>
  </si>
  <si>
    <t>James</t>
  </si>
  <si>
    <t>Gichohi</t>
  </si>
  <si>
    <t>Finance</t>
  </si>
  <si>
    <t>Financial Analyst</t>
  </si>
  <si>
    <t>E1002</t>
  </si>
  <si>
    <t>George</t>
  </si>
  <si>
    <t>Njoroge</t>
  </si>
  <si>
    <t>Female</t>
  </si>
  <si>
    <t>Operations</t>
  </si>
  <si>
    <t>Operations Assistant</t>
  </si>
  <si>
    <t>Nakuru</t>
  </si>
  <si>
    <t>Full-time</t>
  </si>
  <si>
    <t>E1003</t>
  </si>
  <si>
    <t>Eunice</t>
  </si>
  <si>
    <t>Oluoch</t>
  </si>
  <si>
    <t>Customer Service</t>
  </si>
  <si>
    <t>Service Assistant</t>
  </si>
  <si>
    <t>Mombasa</t>
  </si>
  <si>
    <t>E1004</t>
  </si>
  <si>
    <t>Faith</t>
  </si>
  <si>
    <t>Mutua</t>
  </si>
  <si>
    <t>Nairobi</t>
  </si>
  <si>
    <t>E1005</t>
  </si>
  <si>
    <t>Obiero</t>
  </si>
  <si>
    <t>Sales</t>
  </si>
  <si>
    <t>Business Developer</t>
  </si>
  <si>
    <t>Contract</t>
  </si>
  <si>
    <t>E1006</t>
  </si>
  <si>
    <t>Susan</t>
  </si>
  <si>
    <t>E1007</t>
  </si>
  <si>
    <t>Tom</t>
  </si>
  <si>
    <t>Wanjiku</t>
  </si>
  <si>
    <t>Logistics Officer</t>
  </si>
  <si>
    <t>E1008</t>
  </si>
  <si>
    <t>Mary</t>
  </si>
  <si>
    <t>Kosgei</t>
  </si>
  <si>
    <t>Marketing</t>
  </si>
  <si>
    <t>Marketing Officer</t>
  </si>
  <si>
    <t>E1009</t>
  </si>
  <si>
    <t>E1010</t>
  </si>
  <si>
    <t>Irene</t>
  </si>
  <si>
    <t>E1011</t>
  </si>
  <si>
    <t>Naomi</t>
  </si>
  <si>
    <t>Customer Care Rep</t>
  </si>
  <si>
    <t>E1012</t>
  </si>
  <si>
    <t>Cheruiyot</t>
  </si>
  <si>
    <t>HR</t>
  </si>
  <si>
    <t>Recruiter</t>
  </si>
  <si>
    <t>E1013</t>
  </si>
  <si>
    <t>Robert</t>
  </si>
  <si>
    <t>Content Creator</t>
  </si>
  <si>
    <t>E1014</t>
  </si>
  <si>
    <t>Auditor</t>
  </si>
  <si>
    <t>E1015</t>
  </si>
  <si>
    <t>Lynn</t>
  </si>
  <si>
    <t>E1016</t>
  </si>
  <si>
    <t>Peter</t>
  </si>
  <si>
    <t>Software Developer</t>
  </si>
  <si>
    <t>E1017</t>
  </si>
  <si>
    <t>E1018</t>
  </si>
  <si>
    <t>Brian</t>
  </si>
  <si>
    <t>E1019</t>
  </si>
  <si>
    <t>Ann</t>
  </si>
  <si>
    <t>E1020</t>
  </si>
  <si>
    <t>Sales Analyst</t>
  </si>
  <si>
    <t>E1021</t>
  </si>
  <si>
    <t>Sales Executive</t>
  </si>
  <si>
    <t>E1022</t>
  </si>
  <si>
    <t>Catherine</t>
  </si>
  <si>
    <t>Achieng</t>
  </si>
  <si>
    <t>Accountant</t>
  </si>
  <si>
    <t>E1023</t>
  </si>
  <si>
    <t>E1024</t>
  </si>
  <si>
    <t>E1025</t>
  </si>
  <si>
    <t>Oscar</t>
  </si>
  <si>
    <t>E1026</t>
  </si>
  <si>
    <t>SEO Specialist</t>
  </si>
  <si>
    <t>E1027</t>
  </si>
  <si>
    <t>Kiptoo</t>
  </si>
  <si>
    <t>E1028</t>
  </si>
  <si>
    <t>E1029</t>
  </si>
  <si>
    <t>E1030</t>
  </si>
  <si>
    <t>Coordinator</t>
  </si>
  <si>
    <t>E1031</t>
  </si>
  <si>
    <t>E1032</t>
  </si>
  <si>
    <t>HR Assistant</t>
  </si>
  <si>
    <t>E1033</t>
  </si>
  <si>
    <t>Mwangi</t>
  </si>
  <si>
    <t>E1034</t>
  </si>
  <si>
    <t>E1035</t>
  </si>
  <si>
    <t>E1036</t>
  </si>
  <si>
    <t>E1037</t>
  </si>
  <si>
    <t>Hassan</t>
  </si>
  <si>
    <t>Kamau</t>
  </si>
  <si>
    <t>E1038</t>
  </si>
  <si>
    <t>E1039</t>
  </si>
  <si>
    <t>E1040</t>
  </si>
  <si>
    <t>Kevin</t>
  </si>
  <si>
    <t>E1041</t>
  </si>
  <si>
    <t>Wambui</t>
  </si>
  <si>
    <t>E1042</t>
  </si>
  <si>
    <t>David</t>
  </si>
  <si>
    <t>HR Officer</t>
  </si>
  <si>
    <t>E1043</t>
  </si>
  <si>
    <t>E1044</t>
  </si>
  <si>
    <t>E1045</t>
  </si>
  <si>
    <t>E1046</t>
  </si>
  <si>
    <t>E1047</t>
  </si>
  <si>
    <t>E1048</t>
  </si>
  <si>
    <t>IT Support</t>
  </si>
  <si>
    <t>E1049</t>
  </si>
  <si>
    <t>E1050</t>
  </si>
  <si>
    <t>E1051</t>
  </si>
  <si>
    <t>E1052</t>
  </si>
  <si>
    <t>Chebet</t>
  </si>
  <si>
    <t>E1053</t>
  </si>
  <si>
    <t>E1054</t>
  </si>
  <si>
    <t>E1055</t>
  </si>
  <si>
    <t>E1056</t>
  </si>
  <si>
    <t>E1057</t>
  </si>
  <si>
    <t>E1058</t>
  </si>
  <si>
    <t>E1059</t>
  </si>
  <si>
    <t>E1060</t>
  </si>
  <si>
    <t>E1061</t>
  </si>
  <si>
    <t>Support Agent</t>
  </si>
  <si>
    <t>E1062</t>
  </si>
  <si>
    <t>E1063</t>
  </si>
  <si>
    <t>E1064</t>
  </si>
  <si>
    <t>E1065</t>
  </si>
  <si>
    <t>E1066</t>
  </si>
  <si>
    <t>E1067</t>
  </si>
  <si>
    <t>Omondi</t>
  </si>
  <si>
    <t>E1068</t>
  </si>
  <si>
    <t>E1069</t>
  </si>
  <si>
    <t>E1070</t>
  </si>
  <si>
    <t>E1071</t>
  </si>
  <si>
    <t>E1072</t>
  </si>
  <si>
    <t>E1073</t>
  </si>
  <si>
    <t>E1074</t>
  </si>
  <si>
    <t>E1075</t>
  </si>
  <si>
    <t>E1076</t>
  </si>
  <si>
    <t>E1077</t>
  </si>
  <si>
    <t>E1078</t>
  </si>
  <si>
    <t>E1079</t>
  </si>
  <si>
    <t>E1080</t>
  </si>
  <si>
    <t>E1081</t>
  </si>
  <si>
    <t>E1082</t>
  </si>
  <si>
    <t>E1083</t>
  </si>
  <si>
    <t>E1084</t>
  </si>
  <si>
    <t>E1085</t>
  </si>
  <si>
    <t>E1086</t>
  </si>
  <si>
    <t>E1087</t>
  </si>
  <si>
    <t>E1088</t>
  </si>
  <si>
    <t>E1089</t>
  </si>
  <si>
    <t>E1090</t>
  </si>
  <si>
    <t>E1091</t>
  </si>
  <si>
    <t>E1092</t>
  </si>
  <si>
    <t>E1093</t>
  </si>
  <si>
    <t>E1094</t>
  </si>
  <si>
    <t>E1095</t>
  </si>
  <si>
    <t>E1096</t>
  </si>
  <si>
    <t>E1097</t>
  </si>
  <si>
    <t>E1098</t>
  </si>
  <si>
    <t>E1099</t>
  </si>
  <si>
    <t>Tenure(Years)</t>
  </si>
  <si>
    <t>Active</t>
  </si>
  <si>
    <t>Status</t>
  </si>
  <si>
    <t>Tenure_Category</t>
  </si>
  <si>
    <t xml:space="preserve">Age_Group </t>
  </si>
  <si>
    <t>Total Employees</t>
  </si>
  <si>
    <t>Average Salary</t>
  </si>
  <si>
    <t>Male Count</t>
  </si>
  <si>
    <t>Female Count</t>
  </si>
  <si>
    <t>Active Employees</t>
  </si>
  <si>
    <t>Exited  Employees</t>
  </si>
  <si>
    <t>Average Age</t>
  </si>
  <si>
    <t>Male Average Age</t>
  </si>
  <si>
    <t>Female Average Age</t>
  </si>
  <si>
    <t>Attrition Rate</t>
  </si>
  <si>
    <t>Row Labels</t>
  </si>
  <si>
    <t>Grand Total</t>
  </si>
  <si>
    <t>Count of Employee_ID</t>
  </si>
  <si>
    <t>Column Labels</t>
  </si>
  <si>
    <t>All</t>
  </si>
  <si>
    <t>Sum of Salary</t>
  </si>
  <si>
    <t>Exited</t>
  </si>
  <si>
    <t>2015</t>
  </si>
  <si>
    <t>2016</t>
  </si>
  <si>
    <t>2017</t>
  </si>
  <si>
    <t>2018</t>
  </si>
  <si>
    <t>2019</t>
  </si>
  <si>
    <t>2020</t>
  </si>
  <si>
    <t>2021</t>
  </si>
  <si>
    <t>2022</t>
  </si>
  <si>
    <t>2023</t>
  </si>
  <si>
    <t>2024</t>
  </si>
  <si>
    <t>30-39</t>
  </si>
  <si>
    <t>40-49</t>
  </si>
  <si>
    <t>50+</t>
  </si>
  <si>
    <t>Under 30</t>
  </si>
  <si>
    <t>Average of Salary</t>
  </si>
  <si>
    <t>Total Department Headcount</t>
  </si>
  <si>
    <t>Count of Status</t>
  </si>
  <si>
    <t>Average of Age</t>
  </si>
  <si>
    <t>Values for Display</t>
  </si>
  <si>
    <t>Avg Salary</t>
  </si>
  <si>
    <t>Avg Age</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</si>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</sst>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quot;$&quot;#,##0"/>
    <numFmt numFmtId="165" formatCode="0.0"/>
    <numFmt numFmtId="166" formatCode="_(&quot;$&quot;* #,##0_);_(&quot;$&quot;* \(#,##0\);_(&quot;$&quot;* &quot;-&quot;??_);_(@_)"/>
    <numFmt numFmtId="167"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14" fontId="0" fillId="0" borderId="0" xfId="0" applyNumberFormat="1"/>
    <xf numFmtId="49" fontId="0" fillId="0" borderId="0" xfId="0" applyNumberFormat="1"/>
    <xf numFmtId="164" fontId="0" fillId="0" borderId="0" xfId="0" applyNumberFormat="1"/>
    <xf numFmtId="2" fontId="0" fillId="0" borderId="0" xfId="0" applyNumberFormat="1"/>
    <xf numFmtId="165" fontId="0" fillId="0" borderId="0" xfId="0" applyNumberFormat="1"/>
    <xf numFmtId="1" fontId="0" fillId="0" borderId="0" xfId="0" applyNumberFormat="1"/>
    <xf numFmtId="0" fontId="18" fillId="0" borderId="0" xfId="0" applyFont="1" applyAlignment="1">
      <alignment vertical="center"/>
    </xf>
    <xf numFmtId="0" fontId="16" fillId="0" borderId="0" xfId="0" applyFont="1"/>
    <xf numFmtId="166" fontId="0" fillId="0" borderId="0" xfId="1" applyNumberFormat="1" applyFont="1"/>
    <xf numFmtId="0" fontId="0" fillId="0" borderId="0" xfId="1" applyNumberFormat="1" applyFont="1"/>
    <xf numFmtId="9" fontId="0" fillId="0" borderId="0" xfId="2" applyFont="1"/>
    <xf numFmtId="0" fontId="0" fillId="0" borderId="0" xfId="0" pivotButton="1"/>
    <xf numFmtId="0" fontId="0" fillId="0" borderId="0" xfId="0" applyAlignment="1">
      <alignment horizontal="left"/>
    </xf>
    <xf numFmtId="166" fontId="0" fillId="0" borderId="0" xfId="0" applyNumberFormat="1"/>
    <xf numFmtId="1" fontId="18" fillId="0" borderId="0" xfId="0" applyNumberFormat="1" applyFont="1" applyAlignment="1">
      <alignment vertical="center"/>
    </xf>
    <xf numFmtId="9" fontId="18" fillId="0" borderId="0" xfId="2" applyFont="1" applyAlignment="1">
      <alignmen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44" fontId="0" fillId="0" borderId="0" xfId="0" applyNumberFormat="1"/>
    <xf numFmtId="167" fontId="0" fillId="0" borderId="0" xfId="0" applyNumberFormat="1"/>
    <xf numFmtId="9" fontId="0" fillId="0" borderId="0" xfId="0" applyNumberForma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43">
    <dxf>
      <fill>
        <patternFill>
          <bgColor theme="5" tint="0.39994506668294322"/>
        </patternFill>
      </fill>
    </dxf>
    <dxf>
      <fill>
        <patternFill>
          <bgColor rgb="FFFFC000"/>
        </patternFill>
      </fill>
    </dxf>
    <dxf>
      <fill>
        <patternFill>
          <bgColor rgb="FF7030A0"/>
        </patternFill>
      </fill>
    </dxf>
    <dxf>
      <fill>
        <patternFill>
          <bgColor rgb="FF00B0F0"/>
        </patternFill>
      </fill>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dxf>
    <dxf>
      <numFmt numFmtId="13" formatCode="0%"/>
    </dxf>
    <dxf>
      <numFmt numFmtId="165" formatCode="0.0"/>
    </dxf>
    <dxf>
      <numFmt numFmtId="34" formatCode="_(&quot;$&quot;* #,##0.00_);_(&quot;$&quot;* \(#,##0.00\);_(&quot;$&quot;* &quot;-&quot;??_);_(@_)"/>
    </dxf>
    <dxf>
      <numFmt numFmtId="167" formatCode="&quot;$&quot;#,##0.00"/>
    </dxf>
    <dxf>
      <numFmt numFmtId="1" formatCode="0"/>
    </dxf>
    <dxf>
      <numFmt numFmtId="1" formatCode="0"/>
    </dxf>
    <dxf>
      <numFmt numFmtId="1" formatCode="0"/>
    </dxf>
    <dxf>
      <numFmt numFmtId="30" formatCode="@"/>
    </dxf>
    <dxf>
      <numFmt numFmtId="30" formatCode="@"/>
    </dxf>
    <dxf>
      <numFmt numFmtId="30" formatCode="@"/>
    </dxf>
    <dxf>
      <numFmt numFmtId="30" formatCode="@"/>
    </dxf>
    <dxf>
      <numFmt numFmtId="164" formatCode="&quot;$&quot;#,##0"/>
    </dxf>
    <dxf>
      <numFmt numFmtId="164" formatCode="&quot;$&quot;#,##0"/>
    </dxf>
    <dxf>
      <numFmt numFmtId="19" formatCode="dd/mm/yy"/>
    </dxf>
    <dxf>
      <numFmt numFmtId="19" formatCode="dd/mm/yy"/>
    </dxf>
    <dxf>
      <numFmt numFmtId="19" formatCode="dd/mm/yy"/>
    </dxf>
    <dxf>
      <numFmt numFmtId="19" formatCode="dd/mm/yy"/>
    </dxf>
    <dxf>
      <numFmt numFmtId="30" formatCode="@"/>
    </dxf>
    <dxf>
      <numFmt numFmtId="30" formatCode="@"/>
    </dxf>
    <dxf>
      <numFmt numFmtId="30" formatCode="@"/>
    </dxf>
    <dxf>
      <numFmt numFmtId="30" formatCode="@"/>
    </dxf>
    <dxf>
      <numFmt numFmtId="1" formatCode="0"/>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2" formatCode="0.00"/>
    </dxf>
    <dxf>
      <numFmt numFmtId="2" formatCode="0.00"/>
    </dxf>
    <dxf>
      <numFmt numFmtId="1" formatCode="0"/>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s>
  <tableStyles count="0" defaultTableStyle="TableStyleMedium2" defaultPivotStyle="PivotStyleLight16"/>
  <colors>
    <mruColors>
      <color rgb="FF2BAADD"/>
      <color rgb="FF360FF9"/>
      <color rgb="FF4F91B9"/>
      <color rgb="FF5A3ACE"/>
      <color rgb="FFED1BC0"/>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pivotCacheDefinition" Target="pivotCache/pivotCacheDefinition9.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3.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1.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microsoft.com/office/2007/relationships/slicerCache" Target="slicerCaches/slicerCache5.xml"/><Relationship Id="rId30" Type="http://schemas.openxmlformats.org/officeDocument/2006/relationships/styles" Target="styles.xml"/><Relationship Id="rId35" Type="http://schemas.openxmlformats.org/officeDocument/2006/relationships/customXml" Target="../customXml/item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DATASET.xlsx]Dpt Headcount!PivotTable2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Headcount by Department &amp;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'Dpt Headcount'!$B$3:$B$4</c:f>
              <c:strCache>
                <c:ptCount val="1"/>
                <c:pt idx="0">
                  <c:v>Female</c:v>
                </c:pt>
              </c:strCache>
            </c:strRef>
          </c:tx>
          <c:spPr>
            <a:solidFill>
              <a:schemeClr val="accent1"/>
            </a:solidFill>
            <a:ln>
              <a:noFill/>
            </a:ln>
            <a:effectLst/>
          </c:spPr>
          <c:invertIfNegative val="0"/>
          <c:cat>
            <c:strRef>
              <c:f>'Dpt Headcount'!$A$5:$A$12</c:f>
              <c:strCache>
                <c:ptCount val="7"/>
                <c:pt idx="0">
                  <c:v>Customer Service</c:v>
                </c:pt>
                <c:pt idx="1">
                  <c:v>Finance</c:v>
                </c:pt>
                <c:pt idx="2">
                  <c:v>HR</c:v>
                </c:pt>
                <c:pt idx="3">
                  <c:v>IT</c:v>
                </c:pt>
                <c:pt idx="4">
                  <c:v>Marketing</c:v>
                </c:pt>
                <c:pt idx="5">
                  <c:v>Operations</c:v>
                </c:pt>
                <c:pt idx="6">
                  <c:v>Sales</c:v>
                </c:pt>
              </c:strCache>
            </c:strRef>
          </c:cat>
          <c:val>
            <c:numRef>
              <c:f>'Dpt Headcount'!$B$5:$B$12</c:f>
              <c:numCache>
                <c:formatCode>General</c:formatCode>
                <c:ptCount val="7"/>
                <c:pt idx="0">
                  <c:v>3</c:v>
                </c:pt>
                <c:pt idx="1">
                  <c:v>5</c:v>
                </c:pt>
                <c:pt idx="2">
                  <c:v>6</c:v>
                </c:pt>
                <c:pt idx="3">
                  <c:v>6</c:v>
                </c:pt>
                <c:pt idx="4">
                  <c:v>6</c:v>
                </c:pt>
                <c:pt idx="5">
                  <c:v>7</c:v>
                </c:pt>
                <c:pt idx="6">
                  <c:v>7</c:v>
                </c:pt>
              </c:numCache>
            </c:numRef>
          </c:val>
          <c:extLst>
            <c:ext xmlns:c16="http://schemas.microsoft.com/office/drawing/2014/chart" uri="{C3380CC4-5D6E-409C-BE32-E72D297353CC}">
              <c16:uniqueId val="{00000017-50E1-4145-812D-492B928F828A}"/>
            </c:ext>
          </c:extLst>
        </c:ser>
        <c:ser>
          <c:idx val="1"/>
          <c:order val="1"/>
          <c:tx>
            <c:strRef>
              <c:f>'Dpt Headcount'!$C$3:$C$4</c:f>
              <c:strCache>
                <c:ptCount val="1"/>
                <c:pt idx="0">
                  <c:v>Male</c:v>
                </c:pt>
              </c:strCache>
            </c:strRef>
          </c:tx>
          <c:spPr>
            <a:solidFill>
              <a:schemeClr val="accent2"/>
            </a:solidFill>
            <a:ln>
              <a:noFill/>
            </a:ln>
            <a:effectLst/>
          </c:spPr>
          <c:invertIfNegative val="0"/>
          <c:cat>
            <c:strRef>
              <c:f>'Dpt Headcount'!$A$5:$A$12</c:f>
              <c:strCache>
                <c:ptCount val="7"/>
                <c:pt idx="0">
                  <c:v>Customer Service</c:v>
                </c:pt>
                <c:pt idx="1">
                  <c:v>Finance</c:v>
                </c:pt>
                <c:pt idx="2">
                  <c:v>HR</c:v>
                </c:pt>
                <c:pt idx="3">
                  <c:v>IT</c:v>
                </c:pt>
                <c:pt idx="4">
                  <c:v>Marketing</c:v>
                </c:pt>
                <c:pt idx="5">
                  <c:v>Operations</c:v>
                </c:pt>
                <c:pt idx="6">
                  <c:v>Sales</c:v>
                </c:pt>
              </c:strCache>
            </c:strRef>
          </c:cat>
          <c:val>
            <c:numRef>
              <c:f>'Dpt Headcount'!$C$5:$C$12</c:f>
              <c:numCache>
                <c:formatCode>General</c:formatCode>
                <c:ptCount val="7"/>
                <c:pt idx="0">
                  <c:v>7</c:v>
                </c:pt>
                <c:pt idx="1">
                  <c:v>13</c:v>
                </c:pt>
                <c:pt idx="2">
                  <c:v>4</c:v>
                </c:pt>
                <c:pt idx="3">
                  <c:v>15</c:v>
                </c:pt>
                <c:pt idx="4">
                  <c:v>7</c:v>
                </c:pt>
                <c:pt idx="5">
                  <c:v>5</c:v>
                </c:pt>
                <c:pt idx="6">
                  <c:v>9</c:v>
                </c:pt>
              </c:numCache>
            </c:numRef>
          </c:val>
          <c:extLst>
            <c:ext xmlns:c16="http://schemas.microsoft.com/office/drawing/2014/chart" uri="{C3380CC4-5D6E-409C-BE32-E72D297353CC}">
              <c16:uniqueId val="{00000018-50E1-4145-812D-492B928F828A}"/>
            </c:ext>
          </c:extLst>
        </c:ser>
        <c:dLbls>
          <c:showLegendKey val="0"/>
          <c:showVal val="0"/>
          <c:showCatName val="0"/>
          <c:showSerName val="0"/>
          <c:showPercent val="0"/>
          <c:showBubbleSize val="0"/>
        </c:dLbls>
        <c:gapWidth val="219"/>
        <c:overlap val="-27"/>
        <c:axId val="754871839"/>
        <c:axId val="754876159"/>
      </c:barChart>
      <c:catAx>
        <c:axId val="75487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876159"/>
        <c:crosses val="autoZero"/>
        <c:auto val="1"/>
        <c:lblAlgn val="ctr"/>
        <c:lblOffset val="100"/>
        <c:noMultiLvlLbl val="0"/>
      </c:catAx>
      <c:valAx>
        <c:axId val="75487615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5487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DATASET.xlsx]Salary Distribution!PivotTable4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Salary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Distribution'!$B$3</c:f>
              <c:strCache>
                <c:ptCount val="1"/>
                <c:pt idx="0">
                  <c:v>Total</c:v>
                </c:pt>
              </c:strCache>
            </c:strRef>
          </c:tx>
          <c:spPr>
            <a:solidFill>
              <a:schemeClr val="accent1"/>
            </a:solidFill>
            <a:ln>
              <a:noFill/>
            </a:ln>
            <a:effectLst/>
          </c:spPr>
          <c:invertIfNegative val="0"/>
          <c:cat>
            <c:strRef>
              <c:f>'Salary Distribution'!$A$4:$A$11</c:f>
              <c:strCache>
                <c:ptCount val="7"/>
                <c:pt idx="0">
                  <c:v>HR</c:v>
                </c:pt>
                <c:pt idx="1">
                  <c:v>Customer Service</c:v>
                </c:pt>
                <c:pt idx="2">
                  <c:v>Operations</c:v>
                </c:pt>
                <c:pt idx="3">
                  <c:v>Marketing</c:v>
                </c:pt>
                <c:pt idx="4">
                  <c:v>Sales</c:v>
                </c:pt>
                <c:pt idx="5">
                  <c:v>Finance</c:v>
                </c:pt>
                <c:pt idx="6">
                  <c:v>IT</c:v>
                </c:pt>
              </c:strCache>
            </c:strRef>
          </c:cat>
          <c:val>
            <c:numRef>
              <c:f>'Salary Distribution'!$B$4:$B$11</c:f>
              <c:numCache>
                <c:formatCode>_("$"* #,##0_);_("$"* \(#,##0\);_("$"* "-"??_);_(@_)</c:formatCode>
                <c:ptCount val="7"/>
                <c:pt idx="0">
                  <c:v>1020355</c:v>
                </c:pt>
                <c:pt idx="1">
                  <c:v>1233790</c:v>
                </c:pt>
                <c:pt idx="2">
                  <c:v>1385070</c:v>
                </c:pt>
                <c:pt idx="3">
                  <c:v>1493523</c:v>
                </c:pt>
                <c:pt idx="4">
                  <c:v>1944118</c:v>
                </c:pt>
                <c:pt idx="5">
                  <c:v>2344243</c:v>
                </c:pt>
                <c:pt idx="6">
                  <c:v>2617528</c:v>
                </c:pt>
              </c:numCache>
            </c:numRef>
          </c:val>
          <c:extLst>
            <c:ext xmlns:c16="http://schemas.microsoft.com/office/drawing/2014/chart" uri="{C3380CC4-5D6E-409C-BE32-E72D297353CC}">
              <c16:uniqueId val="{00000008-ACFE-4F2F-9C25-9121ED56FFB0}"/>
            </c:ext>
          </c:extLst>
        </c:ser>
        <c:dLbls>
          <c:showLegendKey val="0"/>
          <c:showVal val="0"/>
          <c:showCatName val="0"/>
          <c:showSerName val="0"/>
          <c:showPercent val="0"/>
          <c:showBubbleSize val="0"/>
        </c:dLbls>
        <c:gapWidth val="182"/>
        <c:axId val="754868479"/>
        <c:axId val="754872319"/>
      </c:barChart>
      <c:catAx>
        <c:axId val="75486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872319"/>
        <c:crosses val="autoZero"/>
        <c:auto val="1"/>
        <c:lblAlgn val="ctr"/>
        <c:lblOffset val="100"/>
        <c:noMultiLvlLbl val="0"/>
      </c:catAx>
      <c:valAx>
        <c:axId val="75487231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86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DATASET.xlsx]Employment Type Breakdown!PivotTable11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Employment Type Breakdown</a:t>
            </a:r>
            <a:endParaRPr lang="en-US"/>
          </a:p>
        </c:rich>
      </c:tx>
      <c:layout>
        <c:manualLayout>
          <c:xMode val="edge"/>
          <c:yMode val="edge"/>
          <c:x val="0.22040066777963274"/>
          <c:y val="6.34920634920634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'Employment Type Breakdown'!$B$3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A6-47D9-85A0-906CE76DF5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A6-47D9-85A0-906CE76DF5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A6-47D9-85A0-906CE76DF56F}"/>
              </c:ext>
            </c:extLst>
          </c:dPt>
          <c:cat>
            <c:strRef>
              <c:f>'Employment Type Breakdown'!$A$4:$A$7</c:f>
              <c:strCache>
                <c:ptCount val="3"/>
                <c:pt idx="0">
                  <c:v>Contract</c:v>
                </c:pt>
                <c:pt idx="1">
                  <c:v>Full-time</c:v>
                </c:pt>
                <c:pt idx="2">
                  <c:v>Part-time</c:v>
                </c:pt>
              </c:strCache>
            </c:strRef>
          </c:cat>
          <c:val>
            <c:numRef>
              <c:f>'Employment Type Breakdown'!$B$4:$B$7</c:f>
              <c:numCache>
                <c:formatCode>General</c:formatCode>
                <c:ptCount val="3"/>
                <c:pt idx="0">
                  <c:v>33</c:v>
                </c:pt>
                <c:pt idx="1">
                  <c:v>28</c:v>
                </c:pt>
                <c:pt idx="2">
                  <c:v>39</c:v>
                </c:pt>
              </c:numCache>
            </c:numRef>
          </c:val>
          <c:extLst>
            <c:ext xmlns:c16="http://schemas.microsoft.com/office/drawing/2014/chart" uri="{C3380CC4-5D6E-409C-BE32-E72D297353CC}">
              <c16:uniqueId val="{0000000C-B883-4DBB-AAF1-5F421DC906C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DATASET.xlsx]Avereage Salary by Dpt!PivotTable13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Dpt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'Avereage Salary by Dpt'!$B$3</c:f>
              <c:strCache>
                <c:ptCount val="1"/>
                <c:pt idx="0">
                  <c:v>Total</c:v>
                </c:pt>
              </c:strCache>
            </c:strRef>
          </c:tx>
          <c:spPr>
            <a:solidFill>
              <a:schemeClr val="accent1"/>
            </a:solidFill>
            <a:ln>
              <a:noFill/>
            </a:ln>
            <a:effectLst/>
          </c:spPr>
          <c:invertIfNegative val="0"/>
          <c:cat>
            <c:strRef>
              <c:f>'Avereage Salary by Dpt'!$A$4:$A$11</c:f>
              <c:strCache>
                <c:ptCount val="7"/>
                <c:pt idx="0">
                  <c:v>HR</c:v>
                </c:pt>
                <c:pt idx="1">
                  <c:v>Marketing</c:v>
                </c:pt>
                <c:pt idx="2">
                  <c:v>Operations</c:v>
                </c:pt>
                <c:pt idx="3">
                  <c:v>Sales</c:v>
                </c:pt>
                <c:pt idx="4">
                  <c:v>Customer Service</c:v>
                </c:pt>
                <c:pt idx="5">
                  <c:v>IT</c:v>
                </c:pt>
                <c:pt idx="6">
                  <c:v>Finance</c:v>
                </c:pt>
              </c:strCache>
            </c:strRef>
          </c:cat>
          <c:val>
            <c:numRef>
              <c:f>'Avereage Salary by Dpt'!$B$4:$B$11</c:f>
              <c:numCache>
                <c:formatCode>_("$"* #,##0_);_("$"* \(#,##0\);_("$"* "-"??_);_(@_)</c:formatCode>
                <c:ptCount val="7"/>
                <c:pt idx="0">
                  <c:v>102035.5</c:v>
                </c:pt>
                <c:pt idx="1">
                  <c:v>114886.38461538461</c:v>
                </c:pt>
                <c:pt idx="2">
                  <c:v>115422.5</c:v>
                </c:pt>
                <c:pt idx="3">
                  <c:v>121507.375</c:v>
                </c:pt>
                <c:pt idx="4">
                  <c:v>123379</c:v>
                </c:pt>
                <c:pt idx="5">
                  <c:v>124644.19047619047</c:v>
                </c:pt>
                <c:pt idx="6">
                  <c:v>130235.72222222222</c:v>
                </c:pt>
              </c:numCache>
            </c:numRef>
          </c:val>
          <c:extLst>
            <c:ext xmlns:c16="http://schemas.microsoft.com/office/drawing/2014/chart" uri="{C3380CC4-5D6E-409C-BE32-E72D297353CC}">
              <c16:uniqueId val="{00000002-CF93-4A93-A6EF-6CF0727CDEBD}"/>
            </c:ext>
          </c:extLst>
        </c:ser>
        <c:dLbls>
          <c:showLegendKey val="0"/>
          <c:showVal val="0"/>
          <c:showCatName val="0"/>
          <c:showSerName val="0"/>
          <c:showPercent val="0"/>
          <c:showBubbleSize val="0"/>
        </c:dLbls>
        <c:gapWidth val="219"/>
        <c:overlap val="-27"/>
        <c:axId val="564906560"/>
        <c:axId val="564912800"/>
      </c:barChart>
      <c:catAx>
        <c:axId val="56490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12800"/>
        <c:crosses val="autoZero"/>
        <c:auto val="1"/>
        <c:lblAlgn val="ctr"/>
        <c:lblOffset val="100"/>
        <c:noMultiLvlLbl val="0"/>
      </c:catAx>
      <c:valAx>
        <c:axId val="564912800"/>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0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DATASET.xlsx]Age_Distribution!PivotTable14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Age_Distribution!$B$3</c:f>
              <c:strCache>
                <c:ptCount val="1"/>
                <c:pt idx="0">
                  <c:v>Total</c:v>
                </c:pt>
              </c:strCache>
            </c:strRef>
          </c:tx>
          <c:spPr>
            <a:solidFill>
              <a:schemeClr val="accent1"/>
            </a:solidFill>
            <a:ln>
              <a:noFill/>
            </a:ln>
            <a:effectLst/>
          </c:spPr>
          <c:invertIfNegative val="0"/>
          <c:cat>
            <c:strRef>
              <c:f>Age_Distribution!$A$4:$A$8</c:f>
              <c:strCache>
                <c:ptCount val="4"/>
                <c:pt idx="0">
                  <c:v>30-39</c:v>
                </c:pt>
                <c:pt idx="1">
                  <c:v>40-49</c:v>
                </c:pt>
                <c:pt idx="2">
                  <c:v>50+</c:v>
                </c:pt>
                <c:pt idx="3">
                  <c:v>Under 30</c:v>
                </c:pt>
              </c:strCache>
            </c:strRef>
          </c:cat>
          <c:val>
            <c:numRef>
              <c:f>Age_Distribution!$B$4:$B$8</c:f>
              <c:numCache>
                <c:formatCode>0</c:formatCode>
                <c:ptCount val="4"/>
                <c:pt idx="0">
                  <c:v>30</c:v>
                </c:pt>
                <c:pt idx="1">
                  <c:v>40</c:v>
                </c:pt>
                <c:pt idx="2">
                  <c:v>13</c:v>
                </c:pt>
                <c:pt idx="3">
                  <c:v>17</c:v>
                </c:pt>
              </c:numCache>
            </c:numRef>
          </c:val>
          <c:extLst>
            <c:ext xmlns:c16="http://schemas.microsoft.com/office/drawing/2014/chart" uri="{C3380CC4-5D6E-409C-BE32-E72D297353CC}">
              <c16:uniqueId val="{00000008-3FF2-459E-B4B4-1ADACFD9D51E}"/>
            </c:ext>
          </c:extLst>
        </c:ser>
        <c:dLbls>
          <c:showLegendKey val="0"/>
          <c:showVal val="0"/>
          <c:showCatName val="0"/>
          <c:showSerName val="0"/>
          <c:showPercent val="0"/>
          <c:showBubbleSize val="0"/>
        </c:dLbls>
        <c:gapWidth val="219"/>
        <c:axId val="754924639"/>
        <c:axId val="754935199"/>
      </c:barChart>
      <c:catAx>
        <c:axId val="75492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935199"/>
        <c:crosses val="autoZero"/>
        <c:auto val="1"/>
        <c:lblAlgn val="ctr"/>
        <c:lblOffset val="100"/>
        <c:noMultiLvlLbl val="0"/>
      </c:catAx>
      <c:valAx>
        <c:axId val="7549351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92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DATASET.xlsx]Hiring Trend!PivotTable27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a:t>
            </a:r>
            <a:r>
              <a:rPr lang="en-US" baseline="0"/>
              <a:t>g Trend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'Hiring Trend'!$B$3</c:f>
              <c:strCache>
                <c:ptCount val="1"/>
                <c:pt idx="0">
                  <c:v>Total</c:v>
                </c:pt>
              </c:strCache>
            </c:strRef>
          </c:tx>
          <c:spPr>
            <a:ln w="28575" cap="rnd">
              <a:solidFill>
                <a:schemeClr val="accent1"/>
              </a:solidFill>
              <a:round/>
            </a:ln>
            <a:effectLst/>
          </c:spPr>
          <c:marker>
            <c:symbol val="none"/>
          </c:marker>
          <c:cat>
            <c:strRef>
              <c:f>'Hiring Trend'!$A$4:$A$14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'Hiring Trend'!$B$4:$B$14</c:f>
              <c:numCache>
                <c:formatCode>General</c:formatCode>
                <c:ptCount val="10"/>
                <c:pt idx="0">
                  <c:v>15</c:v>
                </c:pt>
                <c:pt idx="1">
                  <c:v>8</c:v>
                </c:pt>
                <c:pt idx="2">
                  <c:v>7</c:v>
                </c:pt>
                <c:pt idx="3">
                  <c:v>13</c:v>
                </c:pt>
                <c:pt idx="4">
                  <c:v>15</c:v>
                </c:pt>
                <c:pt idx="5">
                  <c:v>9</c:v>
                </c:pt>
                <c:pt idx="6">
                  <c:v>11</c:v>
                </c:pt>
                <c:pt idx="7">
                  <c:v>5</c:v>
                </c:pt>
                <c:pt idx="8">
                  <c:v>8</c:v>
                </c:pt>
                <c:pt idx="9">
                  <c:v>9</c:v>
                </c:pt>
              </c:numCache>
            </c:numRef>
          </c:val>
          <c:smooth val="0"/>
          <c:extLst>
            <c:ext xmlns:c16="http://schemas.microsoft.com/office/drawing/2014/chart" uri="{C3380CC4-5D6E-409C-BE32-E72D297353CC}">
              <c16:uniqueId val="{00000000-8C92-4C2C-AF12-6BB0382F8392}"/>
            </c:ext>
          </c:extLst>
        </c:ser>
        <c:dLbls>
          <c:showLegendKey val="0"/>
          <c:showVal val="0"/>
          <c:showCatName val="0"/>
          <c:showSerName val="0"/>
          <c:showPercent val="0"/>
          <c:showBubbleSize val="0"/>
        </c:dLbls>
        <c:smooth val="0"/>
        <c:axId val="211177935"/>
        <c:axId val="211178415"/>
      </c:lineChart>
      <c:catAx>
        <c:axId val="21117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78415"/>
        <c:crosses val="autoZero"/>
        <c:auto val="1"/>
        <c:lblAlgn val="ctr"/>
        <c:lblOffset val="100"/>
        <c:noMultiLvlLbl val="0"/>
      </c:catAx>
      <c:valAx>
        <c:axId val="211178415"/>
        <c:scaling>
          <c:orientation val="minMax"/>
        </c:scaling>
        <c:delete val="1"/>
        <c:axPos val="l"/>
        <c:numFmt formatCode="General" sourceLinked="1"/>
        <c:majorTickMark val="none"/>
        <c:minorTickMark val="none"/>
        <c:tickLblPos val="nextTo"/>
        <c:crossAx val="21117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DATASET.xlsx]Avereage Salary by Dpt!PivotTable13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Department </a:t>
            </a:r>
            <a:endParaRPr lang="en-US"/>
          </a:p>
        </c:rich>
      </c:tx>
      <c:layout>
        <c:manualLayout>
          <c:xMode val="edge"/>
          <c:yMode val="edge"/>
          <c:x val="0.14642220914626181"/>
          <c:y val="3.14278514279256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'Avereage Salary by Dpt'!$B$3</c:f>
              <c:strCache>
                <c:ptCount val="1"/>
                <c:pt idx="0">
                  <c:v>Total</c:v>
                </c:pt>
              </c:strCache>
            </c:strRef>
          </c:tx>
          <c:spPr>
            <a:solidFill>
              <a:schemeClr val="accent1"/>
            </a:solidFill>
            <a:ln>
              <a:noFill/>
            </a:ln>
            <a:effectLst/>
          </c:spPr>
          <c:invertIfNegative val="0"/>
          <c:cat>
            <c:strRef>
              <c:f>'Avereage Salary by Dpt'!$A$4:$A$11</c:f>
              <c:strCache>
                <c:ptCount val="7"/>
                <c:pt idx="0">
                  <c:v>HR</c:v>
                </c:pt>
                <c:pt idx="1">
                  <c:v>Marketing</c:v>
                </c:pt>
                <c:pt idx="2">
                  <c:v>Operations</c:v>
                </c:pt>
                <c:pt idx="3">
                  <c:v>Sales</c:v>
                </c:pt>
                <c:pt idx="4">
                  <c:v>Customer Service</c:v>
                </c:pt>
                <c:pt idx="5">
                  <c:v>IT</c:v>
                </c:pt>
                <c:pt idx="6">
                  <c:v>Finance</c:v>
                </c:pt>
              </c:strCache>
            </c:strRef>
          </c:cat>
          <c:val>
            <c:numRef>
              <c:f>'Avereage Salary by Dpt'!$B$4:$B$11</c:f>
              <c:numCache>
                <c:formatCode>_("$"* #,##0_);_("$"* \(#,##0\);_("$"* "-"??_);_(@_)</c:formatCode>
                <c:ptCount val="7"/>
                <c:pt idx="0">
                  <c:v>102035.5</c:v>
                </c:pt>
                <c:pt idx="1">
                  <c:v>114886.38461538461</c:v>
                </c:pt>
                <c:pt idx="2">
                  <c:v>115422.5</c:v>
                </c:pt>
                <c:pt idx="3">
                  <c:v>121507.375</c:v>
                </c:pt>
                <c:pt idx="4">
                  <c:v>123379</c:v>
                </c:pt>
                <c:pt idx="5">
                  <c:v>124644.19047619047</c:v>
                </c:pt>
                <c:pt idx="6">
                  <c:v>130235.72222222222</c:v>
                </c:pt>
              </c:numCache>
            </c:numRef>
          </c:val>
          <c:extLst>
            <c:ext xmlns:c16="http://schemas.microsoft.com/office/drawing/2014/chart" uri="{C3380CC4-5D6E-409C-BE32-E72D297353CC}">
              <c16:uniqueId val="{00000005-9EA1-4106-BD04-2EAE86F2976C}"/>
            </c:ext>
          </c:extLst>
        </c:ser>
        <c:dLbls>
          <c:showLegendKey val="0"/>
          <c:showVal val="0"/>
          <c:showCatName val="0"/>
          <c:showSerName val="0"/>
          <c:showPercent val="0"/>
          <c:showBubbleSize val="0"/>
        </c:dLbls>
        <c:gapWidth val="150"/>
        <c:overlap val="100"/>
        <c:axId val="1179645935"/>
        <c:axId val="1179646895"/>
      </c:barChart>
      <c:catAx>
        <c:axId val="117964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646895"/>
        <c:crosses val="autoZero"/>
        <c:auto val="1"/>
        <c:lblAlgn val="ctr"/>
        <c:lblOffset val="100"/>
        <c:noMultiLvlLbl val="0"/>
      </c:catAx>
      <c:valAx>
        <c:axId val="1179646895"/>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645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DATASET.xlsx]Age_Distribution!PivotTable14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Age_Distribution!$B$3</c:f>
              <c:strCache>
                <c:ptCount val="1"/>
                <c:pt idx="0">
                  <c:v>Total</c:v>
                </c:pt>
              </c:strCache>
            </c:strRef>
          </c:tx>
          <c:spPr>
            <a:solidFill>
              <a:schemeClr val="accent1"/>
            </a:solidFill>
            <a:ln>
              <a:noFill/>
            </a:ln>
            <a:effectLst/>
          </c:spPr>
          <c:invertIfNegative val="0"/>
          <c:cat>
            <c:strRef>
              <c:f>Age_Distribution!$A$4:$A$8</c:f>
              <c:strCache>
                <c:ptCount val="4"/>
                <c:pt idx="0">
                  <c:v>30-39</c:v>
                </c:pt>
                <c:pt idx="1">
                  <c:v>40-49</c:v>
                </c:pt>
                <c:pt idx="2">
                  <c:v>50+</c:v>
                </c:pt>
                <c:pt idx="3">
                  <c:v>Under 30</c:v>
                </c:pt>
              </c:strCache>
            </c:strRef>
          </c:cat>
          <c:val>
            <c:numRef>
              <c:f>Age_Distribution!$B$4:$B$8</c:f>
              <c:numCache>
                <c:formatCode>0</c:formatCode>
                <c:ptCount val="4"/>
                <c:pt idx="0">
                  <c:v>30</c:v>
                </c:pt>
                <c:pt idx="1">
                  <c:v>40</c:v>
                </c:pt>
                <c:pt idx="2">
                  <c:v>13</c:v>
                </c:pt>
                <c:pt idx="3">
                  <c:v>17</c:v>
                </c:pt>
              </c:numCache>
            </c:numRef>
          </c:val>
          <c:extLst>
            <c:ext xmlns:c16="http://schemas.microsoft.com/office/drawing/2014/chart" uri="{C3380CC4-5D6E-409C-BE32-E72D297353CC}">
              <c16:uniqueId val="{00000001-2DE4-4AEF-8129-5982D215FFBF}"/>
            </c:ext>
          </c:extLst>
        </c:ser>
        <c:dLbls>
          <c:showLegendKey val="0"/>
          <c:showVal val="0"/>
          <c:showCatName val="0"/>
          <c:showSerName val="0"/>
          <c:showPercent val="0"/>
          <c:showBubbleSize val="0"/>
        </c:dLbls>
        <c:gapWidth val="219"/>
        <c:axId val="754924639"/>
        <c:axId val="754935199"/>
      </c:barChart>
      <c:catAx>
        <c:axId val="75492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935199"/>
        <c:crosses val="autoZero"/>
        <c:auto val="1"/>
        <c:lblAlgn val="ctr"/>
        <c:lblOffset val="100"/>
        <c:noMultiLvlLbl val="0"/>
      </c:catAx>
      <c:valAx>
        <c:axId val="7549351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92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DATASET.xlsx]Employment Type Breakdown!PivotTable11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Employment Type Breakdown</a:t>
            </a:r>
            <a:endParaRPr lang="en-US"/>
          </a:p>
        </c:rich>
      </c:tx>
      <c:layout>
        <c:manualLayout>
          <c:xMode val="edge"/>
          <c:yMode val="edge"/>
          <c:x val="0.20245239586560274"/>
          <c:y val="6.34922859970450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'Employment Type Breakdown'!$B$3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4E-4676-B8AC-223A4629D8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4E-4676-B8AC-223A4629D8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4E-4676-B8AC-223A4629D80F}"/>
              </c:ext>
            </c:extLst>
          </c:dPt>
          <c:cat>
            <c:strRef>
              <c:f>'Employment Type Breakdown'!$A$4:$A$7</c:f>
              <c:strCache>
                <c:ptCount val="3"/>
                <c:pt idx="0">
                  <c:v>Contract</c:v>
                </c:pt>
                <c:pt idx="1">
                  <c:v>Full-time</c:v>
                </c:pt>
                <c:pt idx="2">
                  <c:v>Part-time</c:v>
                </c:pt>
              </c:strCache>
            </c:strRef>
          </c:cat>
          <c:val>
            <c:numRef>
              <c:f>'Employment Type Breakdown'!$B$4:$B$7</c:f>
              <c:numCache>
                <c:formatCode>General</c:formatCode>
                <c:ptCount val="3"/>
                <c:pt idx="0">
                  <c:v>33</c:v>
                </c:pt>
                <c:pt idx="1">
                  <c:v>28</c:v>
                </c:pt>
                <c:pt idx="2">
                  <c:v>39</c:v>
                </c:pt>
              </c:numCache>
            </c:numRef>
          </c:val>
          <c:extLst>
            <c:ext xmlns:c16="http://schemas.microsoft.com/office/drawing/2014/chart" uri="{C3380CC4-5D6E-409C-BE32-E72D297353CC}">
              <c16:uniqueId val="{00000003-D8EE-4501-A455-B8EC4C0E434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Rate by Dpt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Calculations!$E$1</c:f>
              <c:strCache>
                <c:ptCount val="1"/>
                <c:pt idx="0">
                  <c:v>Exited</c:v>
                </c:pt>
              </c:strCache>
            </c:strRef>
          </c:tx>
          <c:spPr>
            <a:solidFill>
              <a:schemeClr val="accent1"/>
            </a:solidFill>
            <a:ln>
              <a:noFill/>
            </a:ln>
            <a:effectLst/>
          </c:spPr>
          <c:invertIfNegative val="0"/>
          <c:cat>
            <c:strRef>
              <c:f>Calculations!$D$2:$D$8</c:f>
              <c:strCache>
                <c:ptCount val="7"/>
                <c:pt idx="0">
                  <c:v>Customer Service</c:v>
                </c:pt>
                <c:pt idx="1">
                  <c:v>Finance</c:v>
                </c:pt>
                <c:pt idx="2">
                  <c:v>HR</c:v>
                </c:pt>
                <c:pt idx="3">
                  <c:v>IT</c:v>
                </c:pt>
                <c:pt idx="4">
                  <c:v>Marketing</c:v>
                </c:pt>
                <c:pt idx="5">
                  <c:v>Operations</c:v>
                </c:pt>
                <c:pt idx="6">
                  <c:v>Sales</c:v>
                </c:pt>
              </c:strCache>
            </c:strRef>
          </c:cat>
          <c:val>
            <c:numRef>
              <c:f>Calculations!$E$2:$E$8</c:f>
              <c:numCache>
                <c:formatCode>General</c:formatCode>
                <c:ptCount val="7"/>
                <c:pt idx="0">
                  <c:v>3</c:v>
                </c:pt>
                <c:pt idx="1">
                  <c:v>7</c:v>
                </c:pt>
                <c:pt idx="2">
                  <c:v>4</c:v>
                </c:pt>
                <c:pt idx="3">
                  <c:v>3</c:v>
                </c:pt>
                <c:pt idx="4">
                  <c:v>3</c:v>
                </c:pt>
                <c:pt idx="5">
                  <c:v>3</c:v>
                </c:pt>
                <c:pt idx="6">
                  <c:v>6</c:v>
                </c:pt>
              </c:numCache>
            </c:numRef>
          </c:val>
          <c:extLst>
            <c:ext xmlns:c16="http://schemas.microsoft.com/office/drawing/2014/chart" uri="{C3380CC4-5D6E-409C-BE32-E72D297353CC}">
              <c16:uniqueId val="{00000000-F835-4A1B-8558-944425DE2C06}"/>
            </c:ext>
          </c:extLst>
        </c:ser>
        <c:dLbls>
          <c:showLegendKey val="0"/>
          <c:showVal val="0"/>
          <c:showCatName val="0"/>
          <c:showSerName val="0"/>
          <c:showPercent val="0"/>
          <c:showBubbleSize val="0"/>
        </c:dLbls>
        <c:gapWidth val="219"/>
        <c:overlap val="-27"/>
        <c:axId val="1921305231"/>
        <c:axId val="1921303311"/>
      </c:barChart>
      <c:lineChart>
        <c:grouping val="standard"/>
        <c:varyColors val="0"/>
        <c:ser>
          <c:idx val="1"/>
          <c:order val="1"/>
          <c:tx>
            <c:strRef>
              <c:f>Calculations!$G$1</c:f>
              <c:strCache>
                <c:ptCount val="1"/>
                <c:pt idx="0">
                  <c:v>Attrition Rate</c:v>
                </c:pt>
              </c:strCache>
            </c:strRef>
          </c:tx>
          <c:spPr>
            <a:ln w="28575" cap="rnd">
              <a:solidFill>
                <a:schemeClr val="accent2"/>
              </a:solidFill>
              <a:round/>
            </a:ln>
            <a:effectLst/>
          </c:spPr>
          <c:marker>
            <c:symbol val="none"/>
          </c:marker>
          <c:cat>
            <c:strRef>
              <c:f>Calculations!$D$2:$D$8</c:f>
              <c:strCache>
                <c:ptCount val="7"/>
                <c:pt idx="0">
                  <c:v>Customer Service</c:v>
                </c:pt>
                <c:pt idx="1">
                  <c:v>Finance</c:v>
                </c:pt>
                <c:pt idx="2">
                  <c:v>HR</c:v>
                </c:pt>
                <c:pt idx="3">
                  <c:v>IT</c:v>
                </c:pt>
                <c:pt idx="4">
                  <c:v>Marketing</c:v>
                </c:pt>
                <c:pt idx="5">
                  <c:v>Operations</c:v>
                </c:pt>
                <c:pt idx="6">
                  <c:v>Sales</c:v>
                </c:pt>
              </c:strCache>
            </c:strRef>
          </c:cat>
          <c:val>
            <c:numRef>
              <c:f>Calculations!$G$2:$G$8</c:f>
              <c:numCache>
                <c:formatCode>0%</c:formatCode>
                <c:ptCount val="7"/>
                <c:pt idx="0">
                  <c:v>0.3</c:v>
                </c:pt>
                <c:pt idx="1">
                  <c:v>0.3888888888888889</c:v>
                </c:pt>
                <c:pt idx="2">
                  <c:v>0.4</c:v>
                </c:pt>
                <c:pt idx="3">
                  <c:v>0.14285714285714285</c:v>
                </c:pt>
                <c:pt idx="4">
                  <c:v>0.23076923076923078</c:v>
                </c:pt>
                <c:pt idx="5">
                  <c:v>0.25</c:v>
                </c:pt>
                <c:pt idx="6">
                  <c:v>0.375</c:v>
                </c:pt>
              </c:numCache>
            </c:numRef>
          </c:val>
          <c:smooth val="0"/>
          <c:extLst>
            <c:ext xmlns:c16="http://schemas.microsoft.com/office/drawing/2014/chart" uri="{C3380CC4-5D6E-409C-BE32-E72D297353CC}">
              <c16:uniqueId val="{00000001-F835-4A1B-8558-944425DE2C06}"/>
            </c:ext>
          </c:extLst>
        </c:ser>
        <c:dLbls>
          <c:showLegendKey val="0"/>
          <c:showVal val="0"/>
          <c:showCatName val="0"/>
          <c:showSerName val="0"/>
          <c:showPercent val="0"/>
          <c:showBubbleSize val="0"/>
        </c:dLbls>
        <c:marker val="1"/>
        <c:smooth val="0"/>
        <c:axId val="1921310031"/>
        <c:axId val="1921308111"/>
      </c:lineChart>
      <c:catAx>
        <c:axId val="1921305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303311"/>
        <c:crosses val="autoZero"/>
        <c:auto val="1"/>
        <c:lblAlgn val="ctr"/>
        <c:lblOffset val="100"/>
        <c:noMultiLvlLbl val="0"/>
      </c:catAx>
      <c:valAx>
        <c:axId val="1921303311"/>
        <c:scaling>
          <c:orientation val="minMax"/>
        </c:scaling>
        <c:delete val="0"/>
        <c:axPos val="l"/>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305231"/>
        <c:crosses val="autoZero"/>
        <c:crossBetween val="between"/>
      </c:valAx>
      <c:valAx>
        <c:axId val="1921308111"/>
        <c:scaling>
          <c:orientation val="minMax"/>
        </c:scaling>
        <c:delete val="0"/>
        <c:axPos val="r"/>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310031"/>
        <c:crosses val="max"/>
        <c:crossBetween val="between"/>
      </c:valAx>
      <c:catAx>
        <c:axId val="1921310031"/>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308111"/>
        <c:crosses val="max"/>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Active vs Leavers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Calculations!$A$2</c:f>
              <c:strCache>
                <c:ptCount val="1"/>
                <c:pt idx="0">
                  <c:v>Active Employees</c:v>
                </c:pt>
              </c:strCache>
            </c:strRef>
          </c:tx>
          <c:spPr>
            <a:solidFill>
              <a:schemeClr val="accent1"/>
            </a:solidFill>
            <a:ln>
              <a:noFill/>
            </a:ln>
            <a:effectLst/>
          </c:spPr>
          <c:invertIfNegative val="0"/>
          <c:val>
            <c:numRef>
              <c:f>Calculations!$B$2</c:f>
              <c:numCache>
                <c:formatCode>General</c:formatCode>
                <c:ptCount val="1"/>
                <c:pt idx="0">
                  <c:v>71</c:v>
                </c:pt>
              </c:numCache>
            </c:numRef>
          </c:val>
          <c:extLst>
            <c:ext xmlns:c16="http://schemas.microsoft.com/office/drawing/2014/chart" uri="{C3380CC4-5D6E-409C-BE32-E72D297353CC}">
              <c16:uniqueId val="{00000000-2047-41AD-B7CD-31BA5E5FD94F}"/>
            </c:ext>
          </c:extLst>
        </c:ser>
        <c:ser>
          <c:idx val="1"/>
          <c:order val="1"/>
          <c:tx>
            <c:strRef>
              <c:f>Calculations!$A$3</c:f>
              <c:strCache>
                <c:ptCount val="1"/>
                <c:pt idx="0">
                  <c:v>Exited  Employees</c:v>
                </c:pt>
              </c:strCache>
            </c:strRef>
          </c:tx>
          <c:spPr>
            <a:solidFill>
              <a:schemeClr val="accent2"/>
            </a:solidFill>
            <a:ln>
              <a:noFill/>
            </a:ln>
            <a:effectLst/>
          </c:spPr>
          <c:invertIfNegative val="0"/>
          <c:val>
            <c:numRef>
              <c:f>Calculations!$B$3</c:f>
              <c:numCache>
                <c:formatCode>General</c:formatCode>
                <c:ptCount val="1"/>
                <c:pt idx="0">
                  <c:v>29</c:v>
                </c:pt>
              </c:numCache>
            </c:numRef>
          </c:val>
          <c:extLst>
            <c:ext xmlns:c16="http://schemas.microsoft.com/office/drawing/2014/chart" uri="{C3380CC4-5D6E-409C-BE32-E72D297353CC}">
              <c16:uniqueId val="{00000001-2047-41AD-B7CD-31BA5E5FD94F}"/>
            </c:ext>
          </c:extLst>
        </c:ser>
        <c:dLbls>
          <c:showLegendKey val="0"/>
          <c:showVal val="0"/>
          <c:showCatName val="0"/>
          <c:showSerName val="0"/>
          <c:showPercent val="0"/>
          <c:showBubbleSize val="0"/>
        </c:dLbls>
        <c:gapWidth val="219"/>
        <c:overlap val="-27"/>
        <c:axId val="203959679"/>
        <c:axId val="203960159"/>
      </c:barChart>
      <c:catAx>
        <c:axId val="203959679"/>
        <c:scaling>
          <c:orientation val="minMax"/>
        </c:scaling>
        <c:delete val="1"/>
        <c:axPos val="b"/>
        <c:numFmt formatCode="General" sourceLinked="1"/>
        <c:majorTickMark val="none"/>
        <c:minorTickMark val="none"/>
        <c:tickLblPos val="nextTo"/>
        <c:crossAx val="203960159"/>
        <c:crosses val="autoZero"/>
        <c:auto val="1"/>
        <c:lblAlgn val="ctr"/>
        <c:lblOffset val="100"/>
        <c:noMultiLvlLbl val="0"/>
      </c:catAx>
      <c:valAx>
        <c:axId val="203960159"/>
        <c:scaling>
          <c:orientation val="minMax"/>
        </c:scaling>
        <c:delete val="1"/>
        <c:axPos val="l"/>
        <c:numFmt formatCode="General" sourceLinked="1"/>
        <c:majorTickMark val="none"/>
        <c:minorTickMark val="none"/>
        <c:tickLblPos val="nextTo"/>
        <c:crossAx val="203959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DATASET.xlsx]Calculations!PivotTable23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By Age Group</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Calculations!$D$14</c:f>
              <c:strCache>
                <c:ptCount val="1"/>
                <c:pt idx="0">
                  <c:v>Total</c:v>
                </c:pt>
              </c:strCache>
            </c:strRef>
          </c:tx>
          <c:invertIfNegative val="0"/>
          <c:cat>
            <c:strRef>
              <c:f>Calculations!$C$15:$C$19</c:f>
              <c:strCache>
                <c:ptCount val="4"/>
                <c:pt idx="0">
                  <c:v>30-39</c:v>
                </c:pt>
                <c:pt idx="1">
                  <c:v>40-49</c:v>
                </c:pt>
                <c:pt idx="2">
                  <c:v>50+</c:v>
                </c:pt>
                <c:pt idx="3">
                  <c:v>Under 30</c:v>
                </c:pt>
              </c:strCache>
            </c:strRef>
          </c:cat>
          <c:val>
            <c:numRef>
              <c:f>Calculations!$D$15:$D$19</c:f>
              <c:numCache>
                <c:formatCode>General</c:formatCode>
                <c:ptCount val="4"/>
                <c:pt idx="0">
                  <c:v>10</c:v>
                </c:pt>
                <c:pt idx="1">
                  <c:v>13</c:v>
                </c:pt>
                <c:pt idx="2">
                  <c:v>3</c:v>
                </c:pt>
                <c:pt idx="3">
                  <c:v>3</c:v>
                </c:pt>
              </c:numCache>
            </c:numRef>
          </c:val>
          <c:extLst>
            <c:ext xmlns:c16="http://schemas.microsoft.com/office/drawing/2014/chart" uri="{C3380CC4-5D6E-409C-BE32-E72D297353CC}">
              <c16:uniqueId val="{00000007-A599-43DF-8E00-5C8B95746BFF}"/>
            </c:ext>
          </c:extLst>
        </c:ser>
        <c:dLbls>
          <c:showLegendKey val="0"/>
          <c:showVal val="0"/>
          <c:showCatName val="0"/>
          <c:showSerName val="0"/>
          <c:showPercent val="0"/>
          <c:showBubbleSize val="0"/>
        </c:dLbls>
        <c:gapWidth val="219"/>
        <c:overlap val="-27"/>
        <c:axId val="754871839"/>
        <c:axId val="754876159"/>
      </c:barChart>
      <c:catAx>
        <c:axId val="75487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876159"/>
        <c:crosses val="autoZero"/>
        <c:auto val="1"/>
        <c:lblAlgn val="ctr"/>
        <c:lblOffset val="100"/>
        <c:noMultiLvlLbl val="0"/>
      </c:catAx>
      <c:valAx>
        <c:axId val="754876159"/>
        <c:scaling>
          <c:orientation val="minMax"/>
        </c:scaling>
        <c:delete val="1"/>
        <c:axPos val="l"/>
        <c:numFmt formatCode="General" sourceLinked="1"/>
        <c:majorTickMark val="none"/>
        <c:minorTickMark val="none"/>
        <c:tickLblPos val="nextTo"/>
        <c:crossAx val="75487183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DATASET.xlsx]Hiring Trend!PivotTable27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a:t>
            </a:r>
            <a:r>
              <a:rPr lang="en-US" baseline="0"/>
              <a:t>g Trend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139594340560964E-2"/>
          <c:y val="0.19445655386739194"/>
          <c:w val="0.94222530188520448"/>
          <c:h val="0.68391887897567494"/>
        </c:manualLayout>
      </c:layout>
      <c:lineChart>
        <c:grouping val="standard"/>
        <c:varyColors val="0"/>
        <c:ser>
          <c:idx val="0"/>
          <c:order val="0"/>
          <c:tx>
            <c:strRef>
              <c:f>'Hiring Trend'!$B$3</c:f>
              <c:strCache>
                <c:ptCount val="1"/>
                <c:pt idx="0">
                  <c:v>Total</c:v>
                </c:pt>
              </c:strCache>
            </c:strRef>
          </c:tx>
          <c:spPr>
            <a:ln w="28575" cap="rnd">
              <a:solidFill>
                <a:schemeClr val="accent1"/>
              </a:solidFill>
              <a:round/>
            </a:ln>
            <a:effectLst/>
          </c:spPr>
          <c:marker>
            <c:symbol val="none"/>
          </c:marker>
          <c:cat>
            <c:strRef>
              <c:f>'Hiring Trend'!$A$4:$A$14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'Hiring Trend'!$B$4:$B$14</c:f>
              <c:numCache>
                <c:formatCode>General</c:formatCode>
                <c:ptCount val="10"/>
                <c:pt idx="0">
                  <c:v>15</c:v>
                </c:pt>
                <c:pt idx="1">
                  <c:v>8</c:v>
                </c:pt>
                <c:pt idx="2">
                  <c:v>7</c:v>
                </c:pt>
                <c:pt idx="3">
                  <c:v>13</c:v>
                </c:pt>
                <c:pt idx="4">
                  <c:v>15</c:v>
                </c:pt>
                <c:pt idx="5">
                  <c:v>9</c:v>
                </c:pt>
                <c:pt idx="6">
                  <c:v>11</c:v>
                </c:pt>
                <c:pt idx="7">
                  <c:v>5</c:v>
                </c:pt>
                <c:pt idx="8">
                  <c:v>8</c:v>
                </c:pt>
                <c:pt idx="9">
                  <c:v>9</c:v>
                </c:pt>
              </c:numCache>
            </c:numRef>
          </c:val>
          <c:smooth val="0"/>
          <c:extLst>
            <c:ext xmlns:c16="http://schemas.microsoft.com/office/drawing/2014/chart" uri="{C3380CC4-5D6E-409C-BE32-E72D297353CC}">
              <c16:uniqueId val="{00000000-AC96-427F-B203-812D58104301}"/>
            </c:ext>
          </c:extLst>
        </c:ser>
        <c:dLbls>
          <c:showLegendKey val="0"/>
          <c:showVal val="0"/>
          <c:showCatName val="0"/>
          <c:showSerName val="0"/>
          <c:showPercent val="0"/>
          <c:showBubbleSize val="0"/>
        </c:dLbls>
        <c:smooth val="0"/>
        <c:axId val="211177935"/>
        <c:axId val="211178415"/>
      </c:lineChart>
      <c:catAx>
        <c:axId val="21117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78415"/>
        <c:crosses val="autoZero"/>
        <c:auto val="1"/>
        <c:lblAlgn val="ctr"/>
        <c:lblOffset val="100"/>
        <c:noMultiLvlLbl val="0"/>
      </c:catAx>
      <c:valAx>
        <c:axId val="211178415"/>
        <c:scaling>
          <c:orientation val="minMax"/>
        </c:scaling>
        <c:delete val="1"/>
        <c:axPos val="l"/>
        <c:numFmt formatCode="General" sourceLinked="1"/>
        <c:majorTickMark val="none"/>
        <c:minorTickMark val="none"/>
        <c:tickLblPos val="nextTo"/>
        <c:crossAx val="21117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DATASET.xlsx]Dpt Headcount!PivotTable2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Headcount by Department &amp; Gender</a:t>
            </a:r>
            <a:endParaRPr lang="en-US"/>
          </a:p>
        </c:rich>
      </c:tx>
      <c:layout>
        <c:manualLayout>
          <c:xMode val="edge"/>
          <c:yMode val="edge"/>
          <c:x val="0.12906173819798228"/>
          <c:y val="4.74868133730843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'Dpt Headcount'!$B$3:$B$4</c:f>
              <c:strCache>
                <c:ptCount val="1"/>
                <c:pt idx="0">
                  <c:v>Female</c:v>
                </c:pt>
              </c:strCache>
            </c:strRef>
          </c:tx>
          <c:spPr>
            <a:solidFill>
              <a:schemeClr val="accent1"/>
            </a:solidFill>
            <a:ln>
              <a:noFill/>
            </a:ln>
            <a:effectLst/>
          </c:spPr>
          <c:invertIfNegative val="0"/>
          <c:cat>
            <c:strRef>
              <c:f>'Dpt Headcount'!$A$5:$A$12</c:f>
              <c:strCache>
                <c:ptCount val="7"/>
                <c:pt idx="0">
                  <c:v>Customer Service</c:v>
                </c:pt>
                <c:pt idx="1">
                  <c:v>Finance</c:v>
                </c:pt>
                <c:pt idx="2">
                  <c:v>HR</c:v>
                </c:pt>
                <c:pt idx="3">
                  <c:v>IT</c:v>
                </c:pt>
                <c:pt idx="4">
                  <c:v>Marketing</c:v>
                </c:pt>
                <c:pt idx="5">
                  <c:v>Operations</c:v>
                </c:pt>
                <c:pt idx="6">
                  <c:v>Sales</c:v>
                </c:pt>
              </c:strCache>
            </c:strRef>
          </c:cat>
          <c:val>
            <c:numRef>
              <c:f>'Dpt Headcount'!$B$5:$B$12</c:f>
              <c:numCache>
                <c:formatCode>General</c:formatCode>
                <c:ptCount val="7"/>
                <c:pt idx="0">
                  <c:v>3</c:v>
                </c:pt>
                <c:pt idx="1">
                  <c:v>5</c:v>
                </c:pt>
                <c:pt idx="2">
                  <c:v>6</c:v>
                </c:pt>
                <c:pt idx="3">
                  <c:v>6</c:v>
                </c:pt>
                <c:pt idx="4">
                  <c:v>6</c:v>
                </c:pt>
                <c:pt idx="5">
                  <c:v>7</c:v>
                </c:pt>
                <c:pt idx="6">
                  <c:v>7</c:v>
                </c:pt>
              </c:numCache>
            </c:numRef>
          </c:val>
          <c:extLst>
            <c:ext xmlns:c16="http://schemas.microsoft.com/office/drawing/2014/chart" uri="{C3380CC4-5D6E-409C-BE32-E72D297353CC}">
              <c16:uniqueId val="{00000003-BF8C-4706-8E0B-2278093DA8E0}"/>
            </c:ext>
          </c:extLst>
        </c:ser>
        <c:ser>
          <c:idx val="1"/>
          <c:order val="1"/>
          <c:tx>
            <c:strRef>
              <c:f>'Dpt Headcount'!$C$3:$C$4</c:f>
              <c:strCache>
                <c:ptCount val="1"/>
                <c:pt idx="0">
                  <c:v>Male</c:v>
                </c:pt>
              </c:strCache>
            </c:strRef>
          </c:tx>
          <c:spPr>
            <a:solidFill>
              <a:schemeClr val="accent2"/>
            </a:solidFill>
            <a:ln>
              <a:noFill/>
            </a:ln>
            <a:effectLst/>
          </c:spPr>
          <c:invertIfNegative val="0"/>
          <c:cat>
            <c:strRef>
              <c:f>'Dpt Headcount'!$A$5:$A$12</c:f>
              <c:strCache>
                <c:ptCount val="7"/>
                <c:pt idx="0">
                  <c:v>Customer Service</c:v>
                </c:pt>
                <c:pt idx="1">
                  <c:v>Finance</c:v>
                </c:pt>
                <c:pt idx="2">
                  <c:v>HR</c:v>
                </c:pt>
                <c:pt idx="3">
                  <c:v>IT</c:v>
                </c:pt>
                <c:pt idx="4">
                  <c:v>Marketing</c:v>
                </c:pt>
                <c:pt idx="5">
                  <c:v>Operations</c:v>
                </c:pt>
                <c:pt idx="6">
                  <c:v>Sales</c:v>
                </c:pt>
              </c:strCache>
            </c:strRef>
          </c:cat>
          <c:val>
            <c:numRef>
              <c:f>'Dpt Headcount'!$C$5:$C$12</c:f>
              <c:numCache>
                <c:formatCode>General</c:formatCode>
                <c:ptCount val="7"/>
                <c:pt idx="0">
                  <c:v>7</c:v>
                </c:pt>
                <c:pt idx="1">
                  <c:v>13</c:v>
                </c:pt>
                <c:pt idx="2">
                  <c:v>4</c:v>
                </c:pt>
                <c:pt idx="3">
                  <c:v>15</c:v>
                </c:pt>
                <c:pt idx="4">
                  <c:v>7</c:v>
                </c:pt>
                <c:pt idx="5">
                  <c:v>5</c:v>
                </c:pt>
                <c:pt idx="6">
                  <c:v>9</c:v>
                </c:pt>
              </c:numCache>
            </c:numRef>
          </c:val>
          <c:extLst>
            <c:ext xmlns:c16="http://schemas.microsoft.com/office/drawing/2014/chart" uri="{C3380CC4-5D6E-409C-BE32-E72D297353CC}">
              <c16:uniqueId val="{00000004-BF8C-4706-8E0B-2278093DA8E0}"/>
            </c:ext>
          </c:extLst>
        </c:ser>
        <c:dLbls>
          <c:showLegendKey val="0"/>
          <c:showVal val="0"/>
          <c:showCatName val="0"/>
          <c:showSerName val="0"/>
          <c:showPercent val="0"/>
          <c:showBubbleSize val="0"/>
        </c:dLbls>
        <c:gapWidth val="219"/>
        <c:overlap val="-27"/>
        <c:axId val="754871839"/>
        <c:axId val="754876159"/>
      </c:barChart>
      <c:catAx>
        <c:axId val="75487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876159"/>
        <c:crosses val="autoZero"/>
        <c:auto val="1"/>
        <c:lblAlgn val="ctr"/>
        <c:lblOffset val="100"/>
        <c:noMultiLvlLbl val="0"/>
      </c:catAx>
      <c:valAx>
        <c:axId val="75487615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5487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Active vs Leavers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Calculations!$A$2</c:f>
              <c:strCache>
                <c:ptCount val="1"/>
                <c:pt idx="0">
                  <c:v>Active Employees</c:v>
                </c:pt>
              </c:strCache>
            </c:strRef>
          </c:tx>
          <c:spPr>
            <a:solidFill>
              <a:schemeClr val="accent1"/>
            </a:solidFill>
            <a:ln>
              <a:noFill/>
            </a:ln>
            <a:effectLst/>
          </c:spPr>
          <c:invertIfNegative val="0"/>
          <c:val>
            <c:numRef>
              <c:f>Calculations!$B$2</c:f>
              <c:numCache>
                <c:formatCode>General</c:formatCode>
                <c:ptCount val="1"/>
                <c:pt idx="0">
                  <c:v>71</c:v>
                </c:pt>
              </c:numCache>
            </c:numRef>
          </c:val>
          <c:extLst>
            <c:ext xmlns:c16="http://schemas.microsoft.com/office/drawing/2014/chart" uri="{C3380CC4-5D6E-409C-BE32-E72D297353CC}">
              <c16:uniqueId val="{00000000-3350-432B-942A-DF3F9BBF393F}"/>
            </c:ext>
          </c:extLst>
        </c:ser>
        <c:ser>
          <c:idx val="1"/>
          <c:order val="1"/>
          <c:tx>
            <c:strRef>
              <c:f>Calculations!$A$3</c:f>
              <c:strCache>
                <c:ptCount val="1"/>
                <c:pt idx="0">
                  <c:v>Exited  Employees</c:v>
                </c:pt>
              </c:strCache>
            </c:strRef>
          </c:tx>
          <c:spPr>
            <a:solidFill>
              <a:schemeClr val="accent2"/>
            </a:solidFill>
            <a:ln>
              <a:noFill/>
            </a:ln>
            <a:effectLst/>
          </c:spPr>
          <c:invertIfNegative val="0"/>
          <c:val>
            <c:numRef>
              <c:f>Calculations!$B$3</c:f>
              <c:numCache>
                <c:formatCode>General</c:formatCode>
                <c:ptCount val="1"/>
                <c:pt idx="0">
                  <c:v>29</c:v>
                </c:pt>
              </c:numCache>
            </c:numRef>
          </c:val>
          <c:extLst>
            <c:ext xmlns:c16="http://schemas.microsoft.com/office/drawing/2014/chart" uri="{C3380CC4-5D6E-409C-BE32-E72D297353CC}">
              <c16:uniqueId val="{00000001-3350-432B-942A-DF3F9BBF393F}"/>
            </c:ext>
          </c:extLst>
        </c:ser>
        <c:dLbls>
          <c:showLegendKey val="0"/>
          <c:showVal val="0"/>
          <c:showCatName val="0"/>
          <c:showSerName val="0"/>
          <c:showPercent val="0"/>
          <c:showBubbleSize val="0"/>
        </c:dLbls>
        <c:gapWidth val="219"/>
        <c:overlap val="-27"/>
        <c:axId val="203959679"/>
        <c:axId val="203960159"/>
      </c:barChart>
      <c:catAx>
        <c:axId val="203959679"/>
        <c:scaling>
          <c:orientation val="minMax"/>
        </c:scaling>
        <c:delete val="1"/>
        <c:axPos val="b"/>
        <c:numFmt formatCode="General" sourceLinked="1"/>
        <c:majorTickMark val="none"/>
        <c:minorTickMark val="none"/>
        <c:tickLblPos val="nextTo"/>
        <c:crossAx val="203960159"/>
        <c:crosses val="autoZero"/>
        <c:auto val="1"/>
        <c:lblAlgn val="ctr"/>
        <c:lblOffset val="100"/>
        <c:noMultiLvlLbl val="0"/>
      </c:catAx>
      <c:valAx>
        <c:axId val="203960159"/>
        <c:scaling>
          <c:orientation val="minMax"/>
        </c:scaling>
        <c:delete val="1"/>
        <c:axPos val="l"/>
        <c:numFmt formatCode="General" sourceLinked="1"/>
        <c:majorTickMark val="none"/>
        <c:minorTickMark val="none"/>
        <c:tickLblPos val="nextTo"/>
        <c:crossAx val="203959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Rate by Dpt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Calculations!$E$1</c:f>
              <c:strCache>
                <c:ptCount val="1"/>
                <c:pt idx="0">
                  <c:v>Exited</c:v>
                </c:pt>
              </c:strCache>
            </c:strRef>
          </c:tx>
          <c:spPr>
            <a:solidFill>
              <a:schemeClr val="accent1"/>
            </a:solidFill>
            <a:ln>
              <a:noFill/>
            </a:ln>
            <a:effectLst/>
          </c:spPr>
          <c:invertIfNegative val="0"/>
          <c:cat>
            <c:strRef>
              <c:f>Calculations!$D$2:$D$8</c:f>
              <c:strCache>
                <c:ptCount val="7"/>
                <c:pt idx="0">
                  <c:v>Customer Service</c:v>
                </c:pt>
                <c:pt idx="1">
                  <c:v>Finance</c:v>
                </c:pt>
                <c:pt idx="2">
                  <c:v>HR</c:v>
                </c:pt>
                <c:pt idx="3">
                  <c:v>IT</c:v>
                </c:pt>
                <c:pt idx="4">
                  <c:v>Marketing</c:v>
                </c:pt>
                <c:pt idx="5">
                  <c:v>Operations</c:v>
                </c:pt>
                <c:pt idx="6">
                  <c:v>Sales</c:v>
                </c:pt>
              </c:strCache>
            </c:strRef>
          </c:cat>
          <c:val>
            <c:numRef>
              <c:f>Calculations!$E$2:$E$8</c:f>
              <c:numCache>
                <c:formatCode>General</c:formatCode>
                <c:ptCount val="7"/>
                <c:pt idx="0">
                  <c:v>3</c:v>
                </c:pt>
                <c:pt idx="1">
                  <c:v>7</c:v>
                </c:pt>
                <c:pt idx="2">
                  <c:v>4</c:v>
                </c:pt>
                <c:pt idx="3">
                  <c:v>3</c:v>
                </c:pt>
                <c:pt idx="4">
                  <c:v>3</c:v>
                </c:pt>
                <c:pt idx="5">
                  <c:v>3</c:v>
                </c:pt>
                <c:pt idx="6">
                  <c:v>6</c:v>
                </c:pt>
              </c:numCache>
            </c:numRef>
          </c:val>
          <c:extLst>
            <c:ext xmlns:c16="http://schemas.microsoft.com/office/drawing/2014/chart" uri="{C3380CC4-5D6E-409C-BE32-E72D297353CC}">
              <c16:uniqueId val="{00000000-C49D-4563-8398-7B0F742BC8EF}"/>
            </c:ext>
          </c:extLst>
        </c:ser>
        <c:dLbls>
          <c:showLegendKey val="0"/>
          <c:showVal val="0"/>
          <c:showCatName val="0"/>
          <c:showSerName val="0"/>
          <c:showPercent val="0"/>
          <c:showBubbleSize val="0"/>
        </c:dLbls>
        <c:gapWidth val="219"/>
        <c:overlap val="-27"/>
        <c:axId val="1921305231"/>
        <c:axId val="1921303311"/>
      </c:barChart>
      <c:lineChart>
        <c:grouping val="standard"/>
        <c:varyColors val="0"/>
        <c:ser>
          <c:idx val="1"/>
          <c:order val="1"/>
          <c:tx>
            <c:strRef>
              <c:f>Calculations!$G$1</c:f>
              <c:strCache>
                <c:ptCount val="1"/>
                <c:pt idx="0">
                  <c:v>Attrition Rate</c:v>
                </c:pt>
              </c:strCache>
            </c:strRef>
          </c:tx>
          <c:spPr>
            <a:ln w="28575" cap="rnd">
              <a:solidFill>
                <a:schemeClr val="accent2"/>
              </a:solidFill>
              <a:round/>
            </a:ln>
            <a:effectLst/>
          </c:spPr>
          <c:marker>
            <c:symbol val="none"/>
          </c:marker>
          <c:cat>
            <c:strRef>
              <c:f>Calculations!$D$2:$D$8</c:f>
              <c:strCache>
                <c:ptCount val="7"/>
                <c:pt idx="0">
                  <c:v>Customer Service</c:v>
                </c:pt>
                <c:pt idx="1">
                  <c:v>Finance</c:v>
                </c:pt>
                <c:pt idx="2">
                  <c:v>HR</c:v>
                </c:pt>
                <c:pt idx="3">
                  <c:v>IT</c:v>
                </c:pt>
                <c:pt idx="4">
                  <c:v>Marketing</c:v>
                </c:pt>
                <c:pt idx="5">
                  <c:v>Operations</c:v>
                </c:pt>
                <c:pt idx="6">
                  <c:v>Sales</c:v>
                </c:pt>
              </c:strCache>
            </c:strRef>
          </c:cat>
          <c:val>
            <c:numRef>
              <c:f>Calculations!$G$2:$G$8</c:f>
              <c:numCache>
                <c:formatCode>0%</c:formatCode>
                <c:ptCount val="7"/>
                <c:pt idx="0">
                  <c:v>0.3</c:v>
                </c:pt>
                <c:pt idx="1">
                  <c:v>0.3888888888888889</c:v>
                </c:pt>
                <c:pt idx="2">
                  <c:v>0.4</c:v>
                </c:pt>
                <c:pt idx="3">
                  <c:v>0.14285714285714285</c:v>
                </c:pt>
                <c:pt idx="4">
                  <c:v>0.23076923076923078</c:v>
                </c:pt>
                <c:pt idx="5">
                  <c:v>0.25</c:v>
                </c:pt>
                <c:pt idx="6">
                  <c:v>0.375</c:v>
                </c:pt>
              </c:numCache>
            </c:numRef>
          </c:val>
          <c:smooth val="0"/>
          <c:extLst>
            <c:ext xmlns:c16="http://schemas.microsoft.com/office/drawing/2014/chart" uri="{C3380CC4-5D6E-409C-BE32-E72D297353CC}">
              <c16:uniqueId val="{00000001-C49D-4563-8398-7B0F742BC8EF}"/>
            </c:ext>
          </c:extLst>
        </c:ser>
        <c:dLbls>
          <c:showLegendKey val="0"/>
          <c:showVal val="0"/>
          <c:showCatName val="0"/>
          <c:showSerName val="0"/>
          <c:showPercent val="0"/>
          <c:showBubbleSize val="0"/>
        </c:dLbls>
        <c:marker val="1"/>
        <c:smooth val="0"/>
        <c:axId val="1921310031"/>
        <c:axId val="1921308111"/>
      </c:lineChart>
      <c:catAx>
        <c:axId val="1921305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303311"/>
        <c:crosses val="autoZero"/>
        <c:auto val="1"/>
        <c:lblAlgn val="ctr"/>
        <c:lblOffset val="100"/>
        <c:noMultiLvlLbl val="0"/>
      </c:catAx>
      <c:valAx>
        <c:axId val="19213033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305231"/>
        <c:crosses val="autoZero"/>
        <c:crossBetween val="between"/>
      </c:valAx>
      <c:valAx>
        <c:axId val="192130811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310031"/>
        <c:crosses val="max"/>
        <c:crossBetween val="between"/>
      </c:valAx>
      <c:catAx>
        <c:axId val="1921310031"/>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308111"/>
        <c:crosses val="max"/>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DATASET.xlsx]Calculations!PivotTable23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Age Group</a:t>
            </a:r>
            <a:endParaRPr lang="en-US"/>
          </a:p>
        </c:rich>
      </c:tx>
      <c:layout>
        <c:manualLayout>
          <c:xMode val="edge"/>
          <c:yMode val="edge"/>
          <c:x val="0.3165345581802274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33333333333332E-3"/>
          <c:y val="0.1115277777777778"/>
          <c:w val="0.93888888888888888"/>
          <c:h val="0.72088764946048411"/>
        </c:manualLayout>
      </c:layout>
      <c:barChart>
        <c:barDir val="col"/>
        <c:grouping val="clustered"/>
        <c:varyColors val="0"/>
        <c:ser>
          <c:idx val="0"/>
          <c:order val="0"/>
          <c:tx>
            <c:strRef>
              <c:f>Calculations!$D$14</c:f>
              <c:strCache>
                <c:ptCount val="1"/>
                <c:pt idx="0">
                  <c:v>Total</c:v>
                </c:pt>
              </c:strCache>
            </c:strRef>
          </c:tx>
          <c:spPr>
            <a:solidFill>
              <a:schemeClr val="accent1"/>
            </a:solidFill>
            <a:ln>
              <a:noFill/>
            </a:ln>
            <a:effectLst/>
          </c:spPr>
          <c:invertIfNegative val="0"/>
          <c:cat>
            <c:strRef>
              <c:f>Calculations!$C$15:$C$19</c:f>
              <c:strCache>
                <c:ptCount val="4"/>
                <c:pt idx="0">
                  <c:v>30-39</c:v>
                </c:pt>
                <c:pt idx="1">
                  <c:v>40-49</c:v>
                </c:pt>
                <c:pt idx="2">
                  <c:v>50+</c:v>
                </c:pt>
                <c:pt idx="3">
                  <c:v>Under 30</c:v>
                </c:pt>
              </c:strCache>
            </c:strRef>
          </c:cat>
          <c:val>
            <c:numRef>
              <c:f>Calculations!$D$15:$D$19</c:f>
              <c:numCache>
                <c:formatCode>General</c:formatCode>
                <c:ptCount val="4"/>
                <c:pt idx="0">
                  <c:v>10</c:v>
                </c:pt>
                <c:pt idx="1">
                  <c:v>13</c:v>
                </c:pt>
                <c:pt idx="2">
                  <c:v>3</c:v>
                </c:pt>
                <c:pt idx="3">
                  <c:v>3</c:v>
                </c:pt>
              </c:numCache>
            </c:numRef>
          </c:val>
          <c:extLst>
            <c:ext xmlns:c16="http://schemas.microsoft.com/office/drawing/2014/chart" uri="{C3380CC4-5D6E-409C-BE32-E72D297353CC}">
              <c16:uniqueId val="{00000000-1216-480A-9BA5-3E7711F7468D}"/>
            </c:ext>
          </c:extLst>
        </c:ser>
        <c:dLbls>
          <c:showLegendKey val="0"/>
          <c:showVal val="0"/>
          <c:showCatName val="0"/>
          <c:showSerName val="0"/>
          <c:showPercent val="0"/>
          <c:showBubbleSize val="0"/>
        </c:dLbls>
        <c:gapWidth val="219"/>
        <c:overlap val="-27"/>
        <c:axId val="2086397023"/>
        <c:axId val="2086397503"/>
      </c:barChart>
      <c:catAx>
        <c:axId val="208639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397503"/>
        <c:crosses val="autoZero"/>
        <c:auto val="1"/>
        <c:lblAlgn val="ctr"/>
        <c:lblOffset val="100"/>
        <c:noMultiLvlLbl val="0"/>
      </c:catAx>
      <c:valAx>
        <c:axId val="2086397503"/>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39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3.png"/><Relationship Id="rId3" Type="http://schemas.openxmlformats.org/officeDocument/2006/relationships/chart" Target="../charts/chart9.xml"/><Relationship Id="rId7" Type="http://schemas.openxmlformats.org/officeDocument/2006/relationships/chart" Target="../charts/chart13.xml"/><Relationship Id="rId12" Type="http://schemas.microsoft.com/office/2007/relationships/hdphoto" Target="../media/hdphoto2.wdp"/><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2.png"/><Relationship Id="rId5" Type="http://schemas.openxmlformats.org/officeDocument/2006/relationships/chart" Target="../charts/chart11.xml"/><Relationship Id="rId10" Type="http://schemas.microsoft.com/office/2007/relationships/hdphoto" Target="../media/hdphoto1.wdp"/><Relationship Id="rId4" Type="http://schemas.openxmlformats.org/officeDocument/2006/relationships/chart" Target="../charts/chart10.xml"/><Relationship Id="rId9" Type="http://schemas.openxmlformats.org/officeDocument/2006/relationships/image" Target="../media/image1.png"/><Relationship Id="rId14" Type="http://schemas.microsoft.com/office/2007/relationships/hdphoto" Target="../media/hdphoto3.wdp"/></Relationships>
</file>

<file path=xl/drawings/_rels/drawing8.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4</xdr:col>
      <xdr:colOff>114300</xdr:colOff>
      <xdr:row>0</xdr:row>
      <xdr:rowOff>95250</xdr:rowOff>
    </xdr:from>
    <xdr:to>
      <xdr:col>10</xdr:col>
      <xdr:colOff>431800</xdr:colOff>
      <xdr:row>15</xdr:row>
      <xdr:rowOff>146050</xdr:rowOff>
    </xdr:to>
    <xdr:graphicFrame macro="">
      <xdr:nvGraphicFramePr>
        <xdr:cNvPr id="2" name="Chart 1">
          <a:extLst>
            <a:ext uri="{FF2B5EF4-FFF2-40B4-BE49-F238E27FC236}">
              <a16:creationId xmlns:a16="http://schemas.microsoft.com/office/drawing/2014/main" id="{195E6C5E-CB4A-8E4E-A92B-92881A6EAF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107950</xdr:colOff>
      <xdr:row>0</xdr:row>
      <xdr:rowOff>12700</xdr:rowOff>
    </xdr:from>
    <xdr:to>
      <xdr:col>8</xdr:col>
      <xdr:colOff>520700</xdr:colOff>
      <xdr:row>13</xdr:row>
      <xdr:rowOff>127000</xdr:rowOff>
    </xdr:to>
    <xdr:graphicFrame macro="">
      <xdr:nvGraphicFramePr>
        <xdr:cNvPr id="2" name="Chart 1">
          <a:extLst>
            <a:ext uri="{FF2B5EF4-FFF2-40B4-BE49-F238E27FC236}">
              <a16:creationId xmlns:a16="http://schemas.microsoft.com/office/drawing/2014/main" id="{D4EEEDB0-DA6B-61DB-1779-1097EA278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146050</xdr:colOff>
      <xdr:row>0</xdr:row>
      <xdr:rowOff>25400</xdr:rowOff>
    </xdr:from>
    <xdr:to>
      <xdr:col>8</xdr:col>
      <xdr:colOff>292100</xdr:colOff>
      <xdr:row>11</xdr:row>
      <xdr:rowOff>0</xdr:rowOff>
    </xdr:to>
    <xdr:graphicFrame macro="">
      <xdr:nvGraphicFramePr>
        <xdr:cNvPr id="2" name="Chart 1">
          <a:extLst>
            <a:ext uri="{FF2B5EF4-FFF2-40B4-BE49-F238E27FC236}">
              <a16:creationId xmlns:a16="http://schemas.microsoft.com/office/drawing/2014/main" id="{80BD4093-154B-88BA-7440-E0478DDBA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647700</xdr:colOff>
      <xdr:row>3</xdr:row>
      <xdr:rowOff>44450</xdr:rowOff>
    </xdr:from>
    <xdr:to>
      <xdr:col>6</xdr:col>
      <xdr:colOff>558800</xdr:colOff>
      <xdr:row>18</xdr:row>
      <xdr:rowOff>25400</xdr:rowOff>
    </xdr:to>
    <xdr:graphicFrame macro="">
      <xdr:nvGraphicFramePr>
        <xdr:cNvPr id="3" name="Chart 2">
          <a:extLst>
            <a:ext uri="{FF2B5EF4-FFF2-40B4-BE49-F238E27FC236}">
              <a16:creationId xmlns:a16="http://schemas.microsoft.com/office/drawing/2014/main" id="{24C9ED51-F1A2-787D-9735-0F65A41CC6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298450</xdr:colOff>
      <xdr:row>0</xdr:row>
      <xdr:rowOff>120650</xdr:rowOff>
    </xdr:from>
    <xdr:to>
      <xdr:col>9</xdr:col>
      <xdr:colOff>146050</xdr:colOff>
      <xdr:row>12</xdr:row>
      <xdr:rowOff>38100</xdr:rowOff>
    </xdr:to>
    <xdr:graphicFrame macro="">
      <xdr:nvGraphicFramePr>
        <xdr:cNvPr id="3" name="Chart 2">
          <a:extLst>
            <a:ext uri="{FF2B5EF4-FFF2-40B4-BE49-F238E27FC236}">
              <a16:creationId xmlns:a16="http://schemas.microsoft.com/office/drawing/2014/main" id="{60A18E7B-5BBC-BE6C-355D-2A701239D3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819150</xdr:colOff>
      <xdr:row>3</xdr:row>
      <xdr:rowOff>44450</xdr:rowOff>
    </xdr:from>
    <xdr:to>
      <xdr:col>7</xdr:col>
      <xdr:colOff>463550</xdr:colOff>
      <xdr:row>16</xdr:row>
      <xdr:rowOff>44450</xdr:rowOff>
    </xdr:to>
    <xdr:graphicFrame macro="">
      <xdr:nvGraphicFramePr>
        <xdr:cNvPr id="2" name="Chart 1">
          <a:extLst>
            <a:ext uri="{FF2B5EF4-FFF2-40B4-BE49-F238E27FC236}">
              <a16:creationId xmlns:a16="http://schemas.microsoft.com/office/drawing/2014/main" id="{BAB7F3DA-FD54-2111-376D-D4D3A13459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565907</xdr:colOff>
      <xdr:row>7</xdr:row>
      <xdr:rowOff>83006</xdr:rowOff>
    </xdr:from>
    <xdr:to>
      <xdr:col>7</xdr:col>
      <xdr:colOff>557327</xdr:colOff>
      <xdr:row>12</xdr:row>
      <xdr:rowOff>161603</xdr:rowOff>
    </xdr:to>
    <xdr:sp macro="" textlink="">
      <xdr:nvSpPr>
        <xdr:cNvPr id="53" name="Rectangle: Rounded Corners 52">
          <a:extLst>
            <a:ext uri="{FF2B5EF4-FFF2-40B4-BE49-F238E27FC236}">
              <a16:creationId xmlns:a16="http://schemas.microsoft.com/office/drawing/2014/main" id="{24ADFB9F-3264-463F-A4B2-E010807C608A}"/>
            </a:ext>
          </a:extLst>
        </xdr:cNvPr>
        <xdr:cNvSpPr/>
      </xdr:nvSpPr>
      <xdr:spPr>
        <a:xfrm>
          <a:off x="2388081" y="1371412"/>
          <a:ext cx="2420985" cy="998887"/>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38328</xdr:colOff>
      <xdr:row>0</xdr:row>
      <xdr:rowOff>0</xdr:rowOff>
    </xdr:from>
    <xdr:to>
      <xdr:col>3</xdr:col>
      <xdr:colOff>334063</xdr:colOff>
      <xdr:row>57</xdr:row>
      <xdr:rowOff>37042</xdr:rowOff>
    </xdr:to>
    <xdr:sp macro="" textlink="">
      <xdr:nvSpPr>
        <xdr:cNvPr id="23" name="Rectangle 22">
          <a:extLst>
            <a:ext uri="{FF2B5EF4-FFF2-40B4-BE49-F238E27FC236}">
              <a16:creationId xmlns:a16="http://schemas.microsoft.com/office/drawing/2014/main" id="{48B2877D-DA08-9FBD-714F-D1B394483AC5}"/>
            </a:ext>
          </a:extLst>
        </xdr:cNvPr>
        <xdr:cNvSpPr/>
      </xdr:nvSpPr>
      <xdr:spPr>
        <a:xfrm>
          <a:off x="38328" y="0"/>
          <a:ext cx="2137235" cy="10292292"/>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4400" b="0" i="0" u="none" strike="noStrike">
            <a:solidFill>
              <a:schemeClr val="tx1"/>
            </a:solidFill>
            <a:latin typeface="Calibri"/>
            <a:ea typeface="+mn-ea"/>
            <a:cs typeface="Calibri"/>
          </a:endParaRPr>
        </a:p>
      </xdr:txBody>
    </xdr:sp>
    <xdr:clientData/>
  </xdr:twoCellAnchor>
  <xdr:twoCellAnchor>
    <xdr:from>
      <xdr:col>2</xdr:col>
      <xdr:colOff>472669</xdr:colOff>
      <xdr:row>0</xdr:row>
      <xdr:rowOff>0</xdr:rowOff>
    </xdr:from>
    <xdr:to>
      <xdr:col>36</xdr:col>
      <xdr:colOff>589881</xdr:colOff>
      <xdr:row>57</xdr:row>
      <xdr:rowOff>31750</xdr:rowOff>
    </xdr:to>
    <xdr:sp macro="" textlink="">
      <xdr:nvSpPr>
        <xdr:cNvPr id="26" name="Rectangle 25">
          <a:extLst>
            <a:ext uri="{FF2B5EF4-FFF2-40B4-BE49-F238E27FC236}">
              <a16:creationId xmlns:a16="http://schemas.microsoft.com/office/drawing/2014/main" id="{3F636979-E83C-4648-AE11-DA3AFC10E249}"/>
            </a:ext>
          </a:extLst>
        </xdr:cNvPr>
        <xdr:cNvSpPr/>
      </xdr:nvSpPr>
      <xdr:spPr>
        <a:xfrm>
          <a:off x="1698108" y="0"/>
          <a:ext cx="20949668" cy="1082675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200526</xdr:colOff>
      <xdr:row>24</xdr:row>
      <xdr:rowOff>20053</xdr:rowOff>
    </xdr:from>
    <xdr:to>
      <xdr:col>10</xdr:col>
      <xdr:colOff>529655</xdr:colOff>
      <xdr:row>36</xdr:row>
      <xdr:rowOff>172022</xdr:rowOff>
    </xdr:to>
    <xdr:graphicFrame macro="">
      <xdr:nvGraphicFramePr>
        <xdr:cNvPr id="28" name="Chart 27">
          <a:extLst>
            <a:ext uri="{FF2B5EF4-FFF2-40B4-BE49-F238E27FC236}">
              <a16:creationId xmlns:a16="http://schemas.microsoft.com/office/drawing/2014/main" id="{E8D5D4E9-1125-435F-A32F-9934241DC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36357</xdr:colOff>
      <xdr:row>13</xdr:row>
      <xdr:rowOff>14005</xdr:rowOff>
    </xdr:from>
    <xdr:to>
      <xdr:col>3</xdr:col>
      <xdr:colOff>37385</xdr:colOff>
      <xdr:row>18</xdr:row>
      <xdr:rowOff>103571</xdr:rowOff>
    </xdr:to>
    <mc:AlternateContent xmlns:mc="http://schemas.openxmlformats.org/markup-compatibility/2006" xmlns:a14="http://schemas.microsoft.com/office/drawing/2010/main">
      <mc:Choice Requires="a14">
        <xdr:graphicFrame macro="">
          <xdr:nvGraphicFramePr>
            <xdr:cNvPr id="31" name="Status">
              <a:extLst>
                <a:ext uri="{FF2B5EF4-FFF2-40B4-BE49-F238E27FC236}">
                  <a16:creationId xmlns:a16="http://schemas.microsoft.com/office/drawing/2014/main" id="{2CBB45FF-ED5E-526E-654A-E897331F3283}"/>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36357" y="2476023"/>
              <a:ext cx="1839186" cy="10364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50894</xdr:colOff>
      <xdr:row>19</xdr:row>
      <xdr:rowOff>23954</xdr:rowOff>
    </xdr:from>
    <xdr:to>
      <xdr:col>3</xdr:col>
      <xdr:colOff>51924</xdr:colOff>
      <xdr:row>27</xdr:row>
      <xdr:rowOff>70463</xdr:rowOff>
    </xdr:to>
    <mc:AlternateContent xmlns:mc="http://schemas.openxmlformats.org/markup-compatibility/2006" xmlns:a14="http://schemas.microsoft.com/office/drawing/2010/main">
      <mc:Choice Requires="a14">
        <xdr:graphicFrame macro="">
          <xdr:nvGraphicFramePr>
            <xdr:cNvPr id="32" name="Age_Group">
              <a:extLst>
                <a:ext uri="{FF2B5EF4-FFF2-40B4-BE49-F238E27FC236}">
                  <a16:creationId xmlns:a16="http://schemas.microsoft.com/office/drawing/2014/main" id="{4DA3921B-F106-3EEA-5743-4C0D94B0C20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0894" y="3622287"/>
              <a:ext cx="1839188" cy="15615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54605</xdr:colOff>
      <xdr:row>0</xdr:row>
      <xdr:rowOff>19491</xdr:rowOff>
    </xdr:from>
    <xdr:to>
      <xdr:col>3</xdr:col>
      <xdr:colOff>55634</xdr:colOff>
      <xdr:row>5</xdr:row>
      <xdr:rowOff>79021</xdr:rowOff>
    </xdr:to>
    <mc:AlternateContent xmlns:mc="http://schemas.openxmlformats.org/markup-compatibility/2006" xmlns:a14="http://schemas.microsoft.com/office/drawing/2010/main">
      <mc:Choice Requires="a14">
        <xdr:graphicFrame macro="">
          <xdr:nvGraphicFramePr>
            <xdr:cNvPr id="37" name="Gender">
              <a:extLst>
                <a:ext uri="{FF2B5EF4-FFF2-40B4-BE49-F238E27FC236}">
                  <a16:creationId xmlns:a16="http://schemas.microsoft.com/office/drawing/2014/main" id="{A4A6F390-2D19-A3A3-A38F-9A169039AB6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4605" y="19491"/>
              <a:ext cx="1839187" cy="1006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245520</xdr:colOff>
      <xdr:row>4</xdr:row>
      <xdr:rowOff>86474</xdr:rowOff>
    </xdr:from>
    <xdr:to>
      <xdr:col>7</xdr:col>
      <xdr:colOff>537151</xdr:colOff>
      <xdr:row>11</xdr:row>
      <xdr:rowOff>10457</xdr:rowOff>
    </xdr:to>
    <xdr:grpSp>
      <xdr:nvGrpSpPr>
        <xdr:cNvPr id="86" name="Group 85">
          <a:extLst>
            <a:ext uri="{FF2B5EF4-FFF2-40B4-BE49-F238E27FC236}">
              <a16:creationId xmlns:a16="http://schemas.microsoft.com/office/drawing/2014/main" id="{136B1FC6-72E4-91A7-677B-940874E8D8D0}"/>
            </a:ext>
          </a:extLst>
        </xdr:cNvPr>
        <xdr:cNvGrpSpPr/>
      </xdr:nvGrpSpPr>
      <xdr:grpSpPr>
        <a:xfrm>
          <a:off x="2083678" y="844018"/>
          <a:ext cx="2742508" cy="1249685"/>
          <a:chOff x="2083678" y="877439"/>
          <a:chExt cx="2742508" cy="1249685"/>
        </a:xfrm>
      </xdr:grpSpPr>
      <xdr:sp macro="" textlink="">
        <xdr:nvSpPr>
          <xdr:cNvPr id="42" name="Rectangle: Rounded Corners 41">
            <a:extLst>
              <a:ext uri="{FF2B5EF4-FFF2-40B4-BE49-F238E27FC236}">
                <a16:creationId xmlns:a16="http://schemas.microsoft.com/office/drawing/2014/main" id="{008DFA42-ED7C-E793-4AB9-2D673F169FD8}"/>
              </a:ext>
            </a:extLst>
          </xdr:cNvPr>
          <xdr:cNvSpPr/>
        </xdr:nvSpPr>
        <xdr:spPr>
          <a:xfrm>
            <a:off x="2097396" y="877439"/>
            <a:ext cx="2441601" cy="1033491"/>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TextBox 42">
            <a:extLst>
              <a:ext uri="{FF2B5EF4-FFF2-40B4-BE49-F238E27FC236}">
                <a16:creationId xmlns:a16="http://schemas.microsoft.com/office/drawing/2014/main" id="{4C189CB3-C751-A5A7-90A7-30878B302C58}"/>
              </a:ext>
            </a:extLst>
          </xdr:cNvPr>
          <xdr:cNvSpPr txBox="1"/>
        </xdr:nvSpPr>
        <xdr:spPr>
          <a:xfrm>
            <a:off x="2083678" y="1077431"/>
            <a:ext cx="2475853" cy="334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Arial Black" panose="020B0A04020102020204" pitchFamily="34" charset="0"/>
              </a:rPr>
              <a:t>TOTAL EMPLOYEES</a:t>
            </a:r>
          </a:p>
        </xdr:txBody>
      </xdr:sp>
      <xdr:sp macro="" textlink="'VALUES FOR DISPLAY'!G4">
        <xdr:nvSpPr>
          <xdr:cNvPr id="34" name="Rectangle 33">
            <a:extLst>
              <a:ext uri="{FF2B5EF4-FFF2-40B4-BE49-F238E27FC236}">
                <a16:creationId xmlns:a16="http://schemas.microsoft.com/office/drawing/2014/main" id="{C844A954-971A-4FEF-8030-7A95B6CCB87D}"/>
              </a:ext>
            </a:extLst>
          </xdr:cNvPr>
          <xdr:cNvSpPr/>
        </xdr:nvSpPr>
        <xdr:spPr>
          <a:xfrm>
            <a:off x="2650040" y="1242011"/>
            <a:ext cx="2176146" cy="88511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3DB770F6-A97A-4F4A-9D9E-178A9329D61A}" type="TxLink">
              <a:rPr lang="en-US" sz="4400" b="0" i="0" u="none" strike="noStrike">
                <a:solidFill>
                  <a:srgbClr val="000000"/>
                </a:solidFill>
                <a:latin typeface="Calibri"/>
                <a:ea typeface="+mn-ea"/>
                <a:cs typeface="Calibri"/>
              </a:rPr>
              <a:pPr marL="0" indent="0" algn="l"/>
              <a:t>100</a:t>
            </a:fld>
            <a:endParaRPr lang="en-US" sz="4400" b="0" i="0" u="none" strike="noStrike">
              <a:solidFill>
                <a:srgbClr val="000000"/>
              </a:solidFill>
              <a:latin typeface="Calibri"/>
              <a:ea typeface="+mn-ea"/>
              <a:cs typeface="Calibri"/>
            </a:endParaRPr>
          </a:p>
        </xdr:txBody>
      </xdr:sp>
    </xdr:grpSp>
    <xdr:clientData/>
  </xdr:twoCellAnchor>
  <xdr:twoCellAnchor>
    <xdr:from>
      <xdr:col>7</xdr:col>
      <xdr:colOff>596406</xdr:colOff>
      <xdr:row>4</xdr:row>
      <xdr:rowOff>73309</xdr:rowOff>
    </xdr:from>
    <xdr:to>
      <xdr:col>11</xdr:col>
      <xdr:colOff>411319</xdr:colOff>
      <xdr:row>10</xdr:row>
      <xdr:rowOff>154703</xdr:rowOff>
    </xdr:to>
    <xdr:grpSp>
      <xdr:nvGrpSpPr>
        <xdr:cNvPr id="72" name="Group 71">
          <a:extLst>
            <a:ext uri="{FF2B5EF4-FFF2-40B4-BE49-F238E27FC236}">
              <a16:creationId xmlns:a16="http://schemas.microsoft.com/office/drawing/2014/main" id="{ACD9B383-7283-ABEC-F3B9-9D9C1783196B}"/>
            </a:ext>
          </a:extLst>
        </xdr:cNvPr>
        <xdr:cNvGrpSpPr/>
      </xdr:nvGrpSpPr>
      <xdr:grpSpPr>
        <a:xfrm>
          <a:off x="4885441" y="830853"/>
          <a:ext cx="2265790" cy="1217710"/>
          <a:chOff x="5045797" y="268300"/>
          <a:chExt cx="2269132" cy="1157006"/>
        </a:xfrm>
      </xdr:grpSpPr>
      <xdr:sp macro="" textlink="">
        <xdr:nvSpPr>
          <xdr:cNvPr id="44" name="Rectangle: Rounded Corners 43">
            <a:extLst>
              <a:ext uri="{FF2B5EF4-FFF2-40B4-BE49-F238E27FC236}">
                <a16:creationId xmlns:a16="http://schemas.microsoft.com/office/drawing/2014/main" id="{6F789D9E-E271-4936-96E2-5BC5EE0F8B91}"/>
              </a:ext>
            </a:extLst>
          </xdr:cNvPr>
          <xdr:cNvSpPr/>
        </xdr:nvSpPr>
        <xdr:spPr>
          <a:xfrm>
            <a:off x="5045797" y="268300"/>
            <a:ext cx="2269132" cy="994403"/>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VALUES FOR DISPLAY'!B4">
        <xdr:nvSpPr>
          <xdr:cNvPr id="46" name="Rectangle 45">
            <a:extLst>
              <a:ext uri="{FF2B5EF4-FFF2-40B4-BE49-F238E27FC236}">
                <a16:creationId xmlns:a16="http://schemas.microsoft.com/office/drawing/2014/main" id="{552AB224-9C7B-424B-AF79-E4CA2C14B33D}"/>
              </a:ext>
            </a:extLst>
          </xdr:cNvPr>
          <xdr:cNvSpPr/>
        </xdr:nvSpPr>
        <xdr:spPr>
          <a:xfrm>
            <a:off x="5434021" y="660354"/>
            <a:ext cx="1755689" cy="7649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EBA8A3BA-43F4-42ED-B33C-33CA5201A995}" type="TxLink">
              <a:rPr lang="en-US" sz="4400" b="0" i="0" u="none" strike="noStrike">
                <a:solidFill>
                  <a:srgbClr val="000000"/>
                </a:solidFill>
                <a:latin typeface="Calibri"/>
                <a:ea typeface="+mn-ea"/>
                <a:cs typeface="Calibri"/>
              </a:rPr>
              <a:pPr marL="0" indent="0" algn="l"/>
              <a:t>39.2</a:t>
            </a:fld>
            <a:endParaRPr lang="en-US" sz="4400" b="0" i="0" u="none" strike="noStrike">
              <a:solidFill>
                <a:srgbClr val="000000"/>
              </a:solidFill>
              <a:latin typeface="Calibri"/>
              <a:ea typeface="+mn-ea"/>
              <a:cs typeface="Calibri"/>
            </a:endParaRPr>
          </a:p>
        </xdr:txBody>
      </xdr:sp>
      <xdr:sp macro="" textlink="">
        <xdr:nvSpPr>
          <xdr:cNvPr id="47" name="TextBox 46">
            <a:extLst>
              <a:ext uri="{FF2B5EF4-FFF2-40B4-BE49-F238E27FC236}">
                <a16:creationId xmlns:a16="http://schemas.microsoft.com/office/drawing/2014/main" id="{984AA654-7EEF-4F41-AE51-FBC4B3BB4428}"/>
              </a:ext>
            </a:extLst>
          </xdr:cNvPr>
          <xdr:cNvSpPr txBox="1"/>
        </xdr:nvSpPr>
        <xdr:spPr>
          <a:xfrm>
            <a:off x="5449730" y="314314"/>
            <a:ext cx="1418168" cy="415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Arial Black" panose="020B0A04020102020204" pitchFamily="34" charset="0"/>
              </a:rPr>
              <a:t>AVG</a:t>
            </a:r>
            <a:r>
              <a:rPr lang="en-US" sz="1600" baseline="0">
                <a:latin typeface="Arial Black" panose="020B0A04020102020204" pitchFamily="34" charset="0"/>
              </a:rPr>
              <a:t> AGE</a:t>
            </a:r>
            <a:endParaRPr lang="en-US" sz="1600">
              <a:latin typeface="Arial Black" panose="020B0A04020102020204" pitchFamily="34" charset="0"/>
            </a:endParaRPr>
          </a:p>
        </xdr:txBody>
      </xdr:sp>
    </xdr:grpSp>
    <xdr:clientData/>
  </xdr:twoCellAnchor>
  <xdr:twoCellAnchor>
    <xdr:from>
      <xdr:col>11</xdr:col>
      <xdr:colOff>122546</xdr:colOff>
      <xdr:row>23</xdr:row>
      <xdr:rowOff>185486</xdr:rowOff>
    </xdr:from>
    <xdr:to>
      <xdr:col>17</xdr:col>
      <xdr:colOff>456754</xdr:colOff>
      <xdr:row>36</xdr:row>
      <xdr:rowOff>153735</xdr:rowOff>
    </xdr:to>
    <xdr:graphicFrame macro="">
      <xdr:nvGraphicFramePr>
        <xdr:cNvPr id="56" name="Chart 55">
          <a:extLst>
            <a:ext uri="{FF2B5EF4-FFF2-40B4-BE49-F238E27FC236}">
              <a16:creationId xmlns:a16="http://schemas.microsoft.com/office/drawing/2014/main" id="{BF65D896-F84C-419F-82A5-90B6CA5A8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144825</xdr:colOff>
      <xdr:row>11</xdr:row>
      <xdr:rowOff>58971</xdr:rowOff>
    </xdr:from>
    <xdr:to>
      <xdr:col>9</xdr:col>
      <xdr:colOff>434473</xdr:colOff>
      <xdr:row>23</xdr:row>
      <xdr:rowOff>40105</xdr:rowOff>
    </xdr:to>
    <xdr:graphicFrame macro="">
      <xdr:nvGraphicFramePr>
        <xdr:cNvPr id="57" name="Chart 56">
          <a:extLst>
            <a:ext uri="{FF2B5EF4-FFF2-40B4-BE49-F238E27FC236}">
              <a16:creationId xmlns:a16="http://schemas.microsoft.com/office/drawing/2014/main" id="{0A7A71B5-E309-401E-BB0B-1D0F5AABD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359276</xdr:colOff>
      <xdr:row>11</xdr:row>
      <xdr:rowOff>38434</xdr:rowOff>
    </xdr:from>
    <xdr:to>
      <xdr:col>24</xdr:col>
      <xdr:colOff>601579</xdr:colOff>
      <xdr:row>23</xdr:row>
      <xdr:rowOff>49017</xdr:rowOff>
    </xdr:to>
    <xdr:graphicFrame macro="">
      <xdr:nvGraphicFramePr>
        <xdr:cNvPr id="58" name="Chart 57">
          <a:extLst>
            <a:ext uri="{FF2B5EF4-FFF2-40B4-BE49-F238E27FC236}">
              <a16:creationId xmlns:a16="http://schemas.microsoft.com/office/drawing/2014/main" id="{D9356C0B-7C63-41D7-BC0E-1ECD8BA39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66842</xdr:colOff>
      <xdr:row>11</xdr:row>
      <xdr:rowOff>26181</xdr:rowOff>
    </xdr:from>
    <xdr:to>
      <xdr:col>16</xdr:col>
      <xdr:colOff>144825</xdr:colOff>
      <xdr:row>22</xdr:row>
      <xdr:rowOff>152065</xdr:rowOff>
    </xdr:to>
    <xdr:graphicFrame macro="">
      <xdr:nvGraphicFramePr>
        <xdr:cNvPr id="59" name="Chart 58">
          <a:extLst>
            <a:ext uri="{FF2B5EF4-FFF2-40B4-BE49-F238E27FC236}">
              <a16:creationId xmlns:a16="http://schemas.microsoft.com/office/drawing/2014/main" id="{78D3A453-B341-4CA0-978D-F41A69807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267369</xdr:colOff>
      <xdr:row>11</xdr:row>
      <xdr:rowOff>33420</xdr:rowOff>
    </xdr:from>
    <xdr:to>
      <xdr:col>33</xdr:col>
      <xdr:colOff>133683</xdr:colOff>
      <xdr:row>23</xdr:row>
      <xdr:rowOff>11140</xdr:rowOff>
    </xdr:to>
    <xdr:graphicFrame macro="">
      <xdr:nvGraphicFramePr>
        <xdr:cNvPr id="60" name="Chart 59">
          <a:extLst>
            <a:ext uri="{FF2B5EF4-FFF2-40B4-BE49-F238E27FC236}">
              <a16:creationId xmlns:a16="http://schemas.microsoft.com/office/drawing/2014/main" id="{B6120D3A-9654-4820-82AF-472D7286B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489062</xdr:colOff>
      <xdr:row>24</xdr:row>
      <xdr:rowOff>22282</xdr:rowOff>
    </xdr:from>
    <xdr:to>
      <xdr:col>33</xdr:col>
      <xdr:colOff>423334</xdr:colOff>
      <xdr:row>36</xdr:row>
      <xdr:rowOff>172006</xdr:rowOff>
    </xdr:to>
    <xdr:graphicFrame macro="">
      <xdr:nvGraphicFramePr>
        <xdr:cNvPr id="61" name="Chart 60">
          <a:extLst>
            <a:ext uri="{FF2B5EF4-FFF2-40B4-BE49-F238E27FC236}">
              <a16:creationId xmlns:a16="http://schemas.microsoft.com/office/drawing/2014/main" id="{B04E1C25-361E-46CB-BBA7-8677DFC57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247386</xdr:colOff>
      <xdr:row>4</xdr:row>
      <xdr:rowOff>161510</xdr:rowOff>
    </xdr:from>
    <xdr:to>
      <xdr:col>28</xdr:col>
      <xdr:colOff>592757</xdr:colOff>
      <xdr:row>10</xdr:row>
      <xdr:rowOff>167643</xdr:rowOff>
    </xdr:to>
    <xdr:grpSp>
      <xdr:nvGrpSpPr>
        <xdr:cNvPr id="80" name="Group 79">
          <a:extLst>
            <a:ext uri="{FF2B5EF4-FFF2-40B4-BE49-F238E27FC236}">
              <a16:creationId xmlns:a16="http://schemas.microsoft.com/office/drawing/2014/main" id="{C1F8D3F2-59E1-0A19-A2ED-00A02F717305}"/>
            </a:ext>
          </a:extLst>
        </xdr:cNvPr>
        <xdr:cNvGrpSpPr/>
      </xdr:nvGrpSpPr>
      <xdr:grpSpPr>
        <a:xfrm>
          <a:off x="14952649" y="919054"/>
          <a:ext cx="2796248" cy="1142449"/>
          <a:chOff x="12486680" y="77405"/>
          <a:chExt cx="2801049" cy="1085633"/>
        </a:xfrm>
      </xdr:grpSpPr>
      <xdr:sp macro="" textlink="">
        <xdr:nvSpPr>
          <xdr:cNvPr id="49" name="Rectangle: Rounded Corners 48">
            <a:extLst>
              <a:ext uri="{FF2B5EF4-FFF2-40B4-BE49-F238E27FC236}">
                <a16:creationId xmlns:a16="http://schemas.microsoft.com/office/drawing/2014/main" id="{0EA1FD04-8761-4E98-87BF-29709354805B}"/>
              </a:ext>
            </a:extLst>
          </xdr:cNvPr>
          <xdr:cNvSpPr/>
        </xdr:nvSpPr>
        <xdr:spPr>
          <a:xfrm>
            <a:off x="12486680" y="98577"/>
            <a:ext cx="1988764" cy="927301"/>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79" name="Group 78">
            <a:extLst>
              <a:ext uri="{FF2B5EF4-FFF2-40B4-BE49-F238E27FC236}">
                <a16:creationId xmlns:a16="http://schemas.microsoft.com/office/drawing/2014/main" id="{C3F36AB6-57E7-7444-EE8B-C7867D8FF9C5}"/>
              </a:ext>
            </a:extLst>
          </xdr:cNvPr>
          <xdr:cNvGrpSpPr/>
        </xdr:nvGrpSpPr>
        <xdr:grpSpPr>
          <a:xfrm>
            <a:off x="12665233" y="77405"/>
            <a:ext cx="2622496" cy="1085633"/>
            <a:chOff x="12665233" y="77405"/>
            <a:chExt cx="2622496" cy="1085633"/>
          </a:xfrm>
        </xdr:grpSpPr>
        <xdr:sp macro="" textlink="">
          <xdr:nvSpPr>
            <xdr:cNvPr id="62" name="TextBox 61">
              <a:extLst>
                <a:ext uri="{FF2B5EF4-FFF2-40B4-BE49-F238E27FC236}">
                  <a16:creationId xmlns:a16="http://schemas.microsoft.com/office/drawing/2014/main" id="{4D1B1EA5-75AC-4817-BF27-9B5F3EBB3539}"/>
                </a:ext>
              </a:extLst>
            </xdr:cNvPr>
            <xdr:cNvSpPr txBox="1"/>
          </xdr:nvSpPr>
          <xdr:spPr>
            <a:xfrm>
              <a:off x="12665233" y="77405"/>
              <a:ext cx="1740286" cy="332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latin typeface="Arial Black" panose="020B0A04020102020204" pitchFamily="34" charset="0"/>
                </a:rPr>
                <a:t>MALES</a:t>
              </a:r>
            </a:p>
          </xdr:txBody>
        </xdr:sp>
        <xdr:sp macro="" textlink="'GENDER HEADCOUNT'!C5">
          <xdr:nvSpPr>
            <xdr:cNvPr id="63" name="Rectangle 62">
              <a:extLst>
                <a:ext uri="{FF2B5EF4-FFF2-40B4-BE49-F238E27FC236}">
                  <a16:creationId xmlns:a16="http://schemas.microsoft.com/office/drawing/2014/main" id="{8EF7D851-EA02-4080-ABD4-BB220206C814}"/>
                </a:ext>
              </a:extLst>
            </xdr:cNvPr>
            <xdr:cNvSpPr/>
          </xdr:nvSpPr>
          <xdr:spPr>
            <a:xfrm>
              <a:off x="13111567" y="325581"/>
              <a:ext cx="2176162" cy="8374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FFB6F395-5B73-45F6-B55D-EC0670498B0F}" type="TxLink">
                <a:rPr lang="en-US" sz="4400" b="0" i="0" u="none" strike="noStrike">
                  <a:solidFill>
                    <a:srgbClr val="000000"/>
                  </a:solidFill>
                  <a:latin typeface="Calibri"/>
                  <a:ea typeface="+mn-ea"/>
                  <a:cs typeface="Calibri"/>
                </a:rPr>
                <a:pPr marL="0" indent="0" algn="l"/>
                <a:t>60</a:t>
              </a:fld>
              <a:endParaRPr lang="en-US" sz="4400" b="0" i="0" u="none" strike="noStrike">
                <a:solidFill>
                  <a:srgbClr val="000000"/>
                </a:solidFill>
                <a:latin typeface="Calibri"/>
                <a:ea typeface="+mn-ea"/>
                <a:cs typeface="Calibri"/>
              </a:endParaRPr>
            </a:p>
          </xdr:txBody>
        </xdr:sp>
      </xdr:grpSp>
    </xdr:grpSp>
    <xdr:clientData/>
  </xdr:twoCellAnchor>
  <xdr:twoCellAnchor>
    <xdr:from>
      <xdr:col>20</xdr:col>
      <xdr:colOff>323512</xdr:colOff>
      <xdr:row>5</xdr:row>
      <xdr:rowOff>3997</xdr:rowOff>
    </xdr:from>
    <xdr:to>
      <xdr:col>23</xdr:col>
      <xdr:colOff>470775</xdr:colOff>
      <xdr:row>10</xdr:row>
      <xdr:rowOff>31715</xdr:rowOff>
    </xdr:to>
    <xdr:sp macro="" textlink="">
      <xdr:nvSpPr>
        <xdr:cNvPr id="45" name="Rectangle: Rounded Corners 44">
          <a:extLst>
            <a:ext uri="{FF2B5EF4-FFF2-40B4-BE49-F238E27FC236}">
              <a16:creationId xmlns:a16="http://schemas.microsoft.com/office/drawing/2014/main" id="{F38E32F1-E01C-4007-AD0C-30EFAD5621A3}"/>
            </a:ext>
          </a:extLst>
        </xdr:cNvPr>
        <xdr:cNvSpPr/>
      </xdr:nvSpPr>
      <xdr:spPr>
        <a:xfrm>
          <a:off x="12577898" y="950927"/>
          <a:ext cx="1985421" cy="974648"/>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145268</xdr:colOff>
      <xdr:row>5</xdr:row>
      <xdr:rowOff>26276</xdr:rowOff>
    </xdr:from>
    <xdr:to>
      <xdr:col>23</xdr:col>
      <xdr:colOff>38040</xdr:colOff>
      <xdr:row>6</xdr:row>
      <xdr:rowOff>186077</xdr:rowOff>
    </xdr:to>
    <xdr:sp macro="" textlink="">
      <xdr:nvSpPr>
        <xdr:cNvPr id="64" name="TextBox 63">
          <a:extLst>
            <a:ext uri="{FF2B5EF4-FFF2-40B4-BE49-F238E27FC236}">
              <a16:creationId xmlns:a16="http://schemas.microsoft.com/office/drawing/2014/main" id="{016BDAFD-A1DA-4309-BD5A-F648D27ABAB6}"/>
            </a:ext>
          </a:extLst>
        </xdr:cNvPr>
        <xdr:cNvSpPr txBox="1"/>
      </xdr:nvSpPr>
      <xdr:spPr>
        <a:xfrm>
          <a:off x="12399654" y="973206"/>
          <a:ext cx="1730930" cy="349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latin typeface="Arial Black" panose="020B0A04020102020204" pitchFamily="34" charset="0"/>
            </a:rPr>
            <a:t>FEMALES</a:t>
          </a:r>
        </a:p>
      </xdr:txBody>
    </xdr:sp>
    <xdr:clientData/>
  </xdr:twoCellAnchor>
  <xdr:twoCellAnchor>
    <xdr:from>
      <xdr:col>21</xdr:col>
      <xdr:colOff>150991</xdr:colOff>
      <xdr:row>6</xdr:row>
      <xdr:rowOff>149406</xdr:rowOff>
    </xdr:from>
    <xdr:to>
      <xdr:col>23</xdr:col>
      <xdr:colOff>215485</xdr:colOff>
      <xdr:row>10</xdr:row>
      <xdr:rowOff>11214</xdr:rowOff>
    </xdr:to>
    <xdr:sp macro="" textlink="'GENDER HEADCOUNT'!B5">
      <xdr:nvSpPr>
        <xdr:cNvPr id="65" name="Rectangle 64">
          <a:extLst>
            <a:ext uri="{FF2B5EF4-FFF2-40B4-BE49-F238E27FC236}">
              <a16:creationId xmlns:a16="http://schemas.microsoft.com/office/drawing/2014/main" id="{F75C4866-E4DC-40C4-983C-93A5FC8CFD63}"/>
            </a:ext>
          </a:extLst>
        </xdr:cNvPr>
        <xdr:cNvSpPr/>
      </xdr:nvSpPr>
      <xdr:spPr>
        <a:xfrm>
          <a:off x="13018096" y="1285722"/>
          <a:ext cx="1289933" cy="6193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FA5528B0-6B28-4ED8-9E23-EF47B55C39F0}" type="TxLink">
            <a:rPr lang="en-US" sz="4400" b="0" i="0" u="none" strike="noStrike">
              <a:solidFill>
                <a:srgbClr val="000000"/>
              </a:solidFill>
              <a:latin typeface="Calibri"/>
              <a:ea typeface="+mn-ea"/>
              <a:cs typeface="Calibri"/>
            </a:rPr>
            <a:pPr marL="0" indent="0" algn="l"/>
            <a:t>40</a:t>
          </a:fld>
          <a:endParaRPr lang="en-US" sz="4400" b="0" i="0" u="none" strike="noStrike">
            <a:solidFill>
              <a:srgbClr val="000000"/>
            </a:solidFill>
            <a:latin typeface="Calibri"/>
            <a:ea typeface="+mn-ea"/>
            <a:cs typeface="Calibri"/>
          </a:endParaRPr>
        </a:p>
      </xdr:txBody>
    </xdr:sp>
    <xdr:clientData/>
  </xdr:twoCellAnchor>
  <xdr:twoCellAnchor>
    <xdr:from>
      <xdr:col>11</xdr:col>
      <xdr:colOff>306191</xdr:colOff>
      <xdr:row>4</xdr:row>
      <xdr:rowOff>86394</xdr:rowOff>
    </xdr:from>
    <xdr:to>
      <xdr:col>16</xdr:col>
      <xdr:colOff>26342</xdr:colOff>
      <xdr:row>10</xdr:row>
      <xdr:rowOff>130321</xdr:rowOff>
    </xdr:to>
    <xdr:grpSp>
      <xdr:nvGrpSpPr>
        <xdr:cNvPr id="81" name="Group 80">
          <a:extLst>
            <a:ext uri="{FF2B5EF4-FFF2-40B4-BE49-F238E27FC236}">
              <a16:creationId xmlns:a16="http://schemas.microsoft.com/office/drawing/2014/main" id="{AEA5AA3D-BC7A-268F-B024-A08818267AB6}"/>
            </a:ext>
          </a:extLst>
        </xdr:cNvPr>
        <xdr:cNvGrpSpPr/>
      </xdr:nvGrpSpPr>
      <xdr:grpSpPr>
        <a:xfrm>
          <a:off x="7046103" y="843938"/>
          <a:ext cx="2783748" cy="1180243"/>
          <a:chOff x="6878998" y="1033325"/>
          <a:chExt cx="2783748" cy="1180243"/>
        </a:xfrm>
      </xdr:grpSpPr>
      <xdr:sp macro="" textlink="">
        <xdr:nvSpPr>
          <xdr:cNvPr id="54" name="Rectangle: Rounded Corners 53">
            <a:extLst>
              <a:ext uri="{FF2B5EF4-FFF2-40B4-BE49-F238E27FC236}">
                <a16:creationId xmlns:a16="http://schemas.microsoft.com/office/drawing/2014/main" id="{4F97B2CD-8685-4EBA-81CE-1F6FBF370B52}"/>
              </a:ext>
            </a:extLst>
          </xdr:cNvPr>
          <xdr:cNvSpPr/>
        </xdr:nvSpPr>
        <xdr:spPr>
          <a:xfrm>
            <a:off x="7220449" y="1033325"/>
            <a:ext cx="2442297" cy="1030855"/>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VALUES FOR DISPLAY'!H4">
        <xdr:nvSpPr>
          <xdr:cNvPr id="66" name="Rectangle 65">
            <a:extLst>
              <a:ext uri="{FF2B5EF4-FFF2-40B4-BE49-F238E27FC236}">
                <a16:creationId xmlns:a16="http://schemas.microsoft.com/office/drawing/2014/main" id="{BBA5676D-255D-4C31-A1DD-444D186A8E39}"/>
              </a:ext>
            </a:extLst>
          </xdr:cNvPr>
          <xdr:cNvSpPr/>
        </xdr:nvSpPr>
        <xdr:spPr>
          <a:xfrm>
            <a:off x="7305514" y="1312214"/>
            <a:ext cx="2238644" cy="9013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7DE437E-141F-4149-822D-E00AEC669133}" type="TxLink">
              <a:rPr lang="en-US" sz="4400" b="0" i="0" u="none" strike="noStrike">
                <a:solidFill>
                  <a:srgbClr val="000000"/>
                </a:solidFill>
                <a:latin typeface="Calibri"/>
                <a:cs typeface="Calibri"/>
              </a:rPr>
              <a:pPr algn="l"/>
              <a:t>$120.4K</a:t>
            </a:fld>
            <a:endParaRPr lang="en-US" sz="4400"/>
          </a:p>
        </xdr:txBody>
      </xdr:sp>
      <xdr:sp macro="" textlink="">
        <xdr:nvSpPr>
          <xdr:cNvPr id="67" name="TextBox 66">
            <a:extLst>
              <a:ext uri="{FF2B5EF4-FFF2-40B4-BE49-F238E27FC236}">
                <a16:creationId xmlns:a16="http://schemas.microsoft.com/office/drawing/2014/main" id="{586721F6-7449-4DF6-B346-6B398E4BA244}"/>
              </a:ext>
            </a:extLst>
          </xdr:cNvPr>
          <xdr:cNvSpPr txBox="1"/>
        </xdr:nvSpPr>
        <xdr:spPr>
          <a:xfrm>
            <a:off x="6878998" y="1056163"/>
            <a:ext cx="2476621" cy="337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latin typeface="Arial Black" panose="020B0A04020102020204" pitchFamily="34" charset="0"/>
              </a:rPr>
              <a:t>AVG</a:t>
            </a:r>
            <a:r>
              <a:rPr lang="en-US" sz="1600" baseline="0">
                <a:latin typeface="Arial Black" panose="020B0A04020102020204" pitchFamily="34" charset="0"/>
              </a:rPr>
              <a:t> SALARY</a:t>
            </a:r>
            <a:endParaRPr lang="en-US" sz="1600">
              <a:latin typeface="Arial Black" panose="020B0A04020102020204" pitchFamily="34" charset="0"/>
            </a:endParaRPr>
          </a:p>
        </xdr:txBody>
      </xdr:sp>
    </xdr:grpSp>
    <xdr:clientData/>
  </xdr:twoCellAnchor>
  <xdr:twoCellAnchor editAs="oneCell">
    <xdr:from>
      <xdr:col>0</xdr:col>
      <xdr:colOff>77759</xdr:colOff>
      <xdr:row>27</xdr:row>
      <xdr:rowOff>126443</xdr:rowOff>
    </xdr:from>
    <xdr:to>
      <xdr:col>3</xdr:col>
      <xdr:colOff>65059</xdr:colOff>
      <xdr:row>38</xdr:row>
      <xdr:rowOff>100262</xdr:rowOff>
    </xdr:to>
    <mc:AlternateContent xmlns:mc="http://schemas.openxmlformats.org/markup-compatibility/2006" xmlns:a14="http://schemas.microsoft.com/office/drawing/2010/main">
      <mc:Choice Requires="a14">
        <xdr:graphicFrame macro="">
          <xdr:nvGraphicFramePr>
            <xdr:cNvPr id="68" name="Department">
              <a:extLst>
                <a:ext uri="{FF2B5EF4-FFF2-40B4-BE49-F238E27FC236}">
                  <a16:creationId xmlns:a16="http://schemas.microsoft.com/office/drawing/2014/main" id="{384662F1-495E-8C51-F2CA-0B965C2184D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7759" y="5239864"/>
              <a:ext cx="1825458" cy="2057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88899</xdr:colOff>
      <xdr:row>5</xdr:row>
      <xdr:rowOff>158751</xdr:rowOff>
    </xdr:from>
    <xdr:to>
      <xdr:col>3</xdr:col>
      <xdr:colOff>76199</xdr:colOff>
      <xdr:row>12</xdr:row>
      <xdr:rowOff>116417</xdr:rowOff>
    </xdr:to>
    <mc:AlternateContent xmlns:mc="http://schemas.openxmlformats.org/markup-compatibility/2006" xmlns:a14="http://schemas.microsoft.com/office/drawing/2010/main">
      <mc:Choice Requires="a14">
        <xdr:graphicFrame macro="">
          <xdr:nvGraphicFramePr>
            <xdr:cNvPr id="69" name="Employment_Type">
              <a:extLst>
                <a:ext uri="{FF2B5EF4-FFF2-40B4-BE49-F238E27FC236}">
                  <a16:creationId xmlns:a16="http://schemas.microsoft.com/office/drawing/2014/main" id="{510E0603-4A23-1D85-0FA1-D535022D5739}"/>
                </a:ext>
              </a:extLst>
            </xdr:cNvPr>
            <xdr:cNvGraphicFramePr/>
          </xdr:nvGraphicFramePr>
          <xdr:xfrm>
            <a:off x="0" y="0"/>
            <a:ext cx="0" cy="0"/>
          </xdr:xfrm>
          <a:graphic>
            <a:graphicData uri="http://schemas.microsoft.com/office/drawing/2010/slicer">
              <sle:slicer xmlns:sle="http://schemas.microsoft.com/office/drawing/2010/slicer" name="Employment_Type"/>
            </a:graphicData>
          </a:graphic>
        </xdr:graphicFrame>
      </mc:Choice>
      <mc:Fallback xmlns="">
        <xdr:sp macro="" textlink="">
          <xdr:nvSpPr>
            <xdr:cNvPr id="0" name=""/>
            <xdr:cNvSpPr>
              <a:spLocks noTextEdit="1"/>
            </xdr:cNvSpPr>
          </xdr:nvSpPr>
          <xdr:spPr>
            <a:xfrm>
              <a:off x="88899" y="1105681"/>
              <a:ext cx="1825458" cy="12833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557018</xdr:colOff>
      <xdr:row>24</xdr:row>
      <xdr:rowOff>18380</xdr:rowOff>
    </xdr:from>
    <xdr:to>
      <xdr:col>25</xdr:col>
      <xdr:colOff>338112</xdr:colOff>
      <xdr:row>36</xdr:row>
      <xdr:rowOff>152732</xdr:rowOff>
    </xdr:to>
    <xdr:graphicFrame macro="">
      <xdr:nvGraphicFramePr>
        <xdr:cNvPr id="70" name="Chart 69">
          <a:extLst>
            <a:ext uri="{FF2B5EF4-FFF2-40B4-BE49-F238E27FC236}">
              <a16:creationId xmlns:a16="http://schemas.microsoft.com/office/drawing/2014/main" id="{891B6F7C-6925-467F-BA5A-5BA250116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590440</xdr:colOff>
      <xdr:row>0</xdr:row>
      <xdr:rowOff>0</xdr:rowOff>
    </xdr:from>
    <xdr:to>
      <xdr:col>24</xdr:col>
      <xdr:colOff>66843</xdr:colOff>
      <xdr:row>3</xdr:row>
      <xdr:rowOff>22281</xdr:rowOff>
    </xdr:to>
    <xdr:sp macro="" textlink="">
      <xdr:nvSpPr>
        <xdr:cNvPr id="82" name="TextBox 81">
          <a:extLst>
            <a:ext uri="{FF2B5EF4-FFF2-40B4-BE49-F238E27FC236}">
              <a16:creationId xmlns:a16="http://schemas.microsoft.com/office/drawing/2014/main" id="{A2E3ACF3-5F11-70F8-DA48-5DBE4D90A8FE}"/>
            </a:ext>
          </a:extLst>
        </xdr:cNvPr>
        <xdr:cNvSpPr txBox="1"/>
      </xdr:nvSpPr>
      <xdr:spPr>
        <a:xfrm>
          <a:off x="3041317" y="0"/>
          <a:ext cx="11730789" cy="590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cap="none" spc="0">
              <a:ln w="6600">
                <a:solidFill>
                  <a:schemeClr val="accent2"/>
                </a:solidFill>
                <a:prstDash val="solid"/>
              </a:ln>
              <a:solidFill>
                <a:srgbClr val="00B0F0"/>
              </a:solidFill>
              <a:effectLst>
                <a:outerShdw dist="38100" dir="2700000" algn="tl" rotWithShape="0">
                  <a:schemeClr val="accent2"/>
                </a:outerShdw>
              </a:effectLst>
              <a:latin typeface="Algerian" panose="04020705040A02060702" pitchFamily="82" charset="0"/>
            </a:rPr>
            <a:t>Employee Flow Analytics</a:t>
          </a:r>
        </a:p>
      </xdr:txBody>
    </xdr:sp>
    <xdr:clientData/>
  </xdr:twoCellAnchor>
  <xdr:twoCellAnchor editAs="oneCell">
    <xdr:from>
      <xdr:col>22</xdr:col>
      <xdr:colOff>323068</xdr:colOff>
      <xdr:row>6</xdr:row>
      <xdr:rowOff>11141</xdr:rowOff>
    </xdr:from>
    <xdr:to>
      <xdr:col>23</xdr:col>
      <xdr:colOff>436684</xdr:colOff>
      <xdr:row>9</xdr:row>
      <xdr:rowOff>169318</xdr:rowOff>
    </xdr:to>
    <xdr:pic>
      <xdr:nvPicPr>
        <xdr:cNvPr id="83" name="Picture 82">
          <a:extLst>
            <a:ext uri="{FF2B5EF4-FFF2-40B4-BE49-F238E27FC236}">
              <a16:creationId xmlns:a16="http://schemas.microsoft.com/office/drawing/2014/main" id="{6064C21F-883E-A64B-4B96-2C2AD863D894}"/>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10000" b="90000" l="10000" r="90000"/>
                  </a14:imgEffect>
                </a14:imgLayer>
              </a14:imgProps>
            </a:ext>
          </a:extLst>
        </a:blip>
        <a:stretch>
          <a:fillRect/>
        </a:stretch>
      </xdr:blipFill>
      <xdr:spPr>
        <a:xfrm>
          <a:off x="13802893" y="1147457"/>
          <a:ext cx="726335" cy="726335"/>
        </a:xfrm>
        <a:prstGeom prst="rect">
          <a:avLst/>
        </a:prstGeom>
      </xdr:spPr>
    </xdr:pic>
    <xdr:clientData/>
  </xdr:twoCellAnchor>
  <xdr:twoCellAnchor editAs="oneCell">
    <xdr:from>
      <xdr:col>26</xdr:col>
      <xdr:colOff>334212</xdr:colOff>
      <xdr:row>6</xdr:row>
      <xdr:rowOff>89123</xdr:rowOff>
    </xdr:from>
    <xdr:to>
      <xdr:col>27</xdr:col>
      <xdr:colOff>389914</xdr:colOff>
      <xdr:row>10</xdr:row>
      <xdr:rowOff>0</xdr:rowOff>
    </xdr:to>
    <xdr:pic>
      <xdr:nvPicPr>
        <xdr:cNvPr id="84" name="Picture 83">
          <a:extLst>
            <a:ext uri="{FF2B5EF4-FFF2-40B4-BE49-F238E27FC236}">
              <a16:creationId xmlns:a16="http://schemas.microsoft.com/office/drawing/2014/main" id="{8715F952-5D84-A0FA-4652-3E2264150075}"/>
            </a:ext>
          </a:extLst>
        </xdr:cNvPr>
        <xdr:cNvPicPr>
          <a:picLocks noChangeAspect="1"/>
        </xdr:cNvPicPr>
      </xdr:nvPicPr>
      <xdr:blipFill>
        <a:blip xmlns:r="http://schemas.openxmlformats.org/officeDocument/2006/relationships" r:embed="rId11">
          <a:extLst>
            <a:ext uri="{BEBA8EAE-BF5A-486C-A8C5-ECC9F3942E4B}">
              <a14:imgProps xmlns:a14="http://schemas.microsoft.com/office/drawing/2010/main">
                <a14:imgLayer r:embed="rId12">
                  <a14:imgEffect>
                    <a14:backgroundRemoval t="10000" b="90000" l="10000" r="90000"/>
                  </a14:imgEffect>
                </a14:imgLayer>
              </a14:imgProps>
            </a:ext>
          </a:extLst>
        </a:blip>
        <a:stretch>
          <a:fillRect/>
        </a:stretch>
      </xdr:blipFill>
      <xdr:spPr>
        <a:xfrm>
          <a:off x="16264914" y="1225439"/>
          <a:ext cx="668421" cy="668421"/>
        </a:xfrm>
        <a:prstGeom prst="rect">
          <a:avLst/>
        </a:prstGeom>
      </xdr:spPr>
    </xdr:pic>
    <xdr:clientData/>
  </xdr:twoCellAnchor>
  <xdr:twoCellAnchor editAs="oneCell">
    <xdr:from>
      <xdr:col>14</xdr:col>
      <xdr:colOff>383549</xdr:colOff>
      <xdr:row>4</xdr:row>
      <xdr:rowOff>53514</xdr:rowOff>
    </xdr:from>
    <xdr:to>
      <xdr:col>15</xdr:col>
      <xdr:colOff>445616</xdr:colOff>
      <xdr:row>7</xdr:row>
      <xdr:rowOff>160142</xdr:rowOff>
    </xdr:to>
    <xdr:pic>
      <xdr:nvPicPr>
        <xdr:cNvPr id="85" name="Picture 84">
          <a:extLst>
            <a:ext uri="{FF2B5EF4-FFF2-40B4-BE49-F238E27FC236}">
              <a16:creationId xmlns:a16="http://schemas.microsoft.com/office/drawing/2014/main" id="{A3E3433A-6B65-7F2B-8860-3F001E9D7516}"/>
            </a:ext>
          </a:extLst>
        </xdr:cNvPr>
        <xdr:cNvPicPr>
          <a:picLocks noChangeAspect="1"/>
        </xdr:cNvPicPr>
      </xdr:nvPicPr>
      <xdr:blipFill>
        <a:blip xmlns:r="http://schemas.openxmlformats.org/officeDocument/2006/relationships" r:embed="rId13">
          <a:extLst>
            <a:ext uri="{BEBA8EAE-BF5A-486C-A8C5-ECC9F3942E4B}">
              <a14:imgProps xmlns:a14="http://schemas.microsoft.com/office/drawing/2010/main">
                <a14:imgLayer r:embed="rId14">
                  <a14:imgEffect>
                    <a14:backgroundRemoval t="10000" b="90000" l="10000" r="90000"/>
                  </a14:imgEffect>
                </a14:imgLayer>
              </a14:imgProps>
            </a:ext>
          </a:extLst>
        </a:blip>
        <a:stretch>
          <a:fillRect/>
        </a:stretch>
      </xdr:blipFill>
      <xdr:spPr>
        <a:xfrm>
          <a:off x="8961619" y="811058"/>
          <a:ext cx="674786" cy="674786"/>
        </a:xfrm>
        <a:prstGeom prst="rect">
          <a:avLst/>
        </a:prstGeom>
      </xdr:spPr>
    </xdr:pic>
    <xdr:clientData/>
  </xdr:twoCellAnchor>
  <xdr:twoCellAnchor>
    <xdr:from>
      <xdr:col>16</xdr:col>
      <xdr:colOff>297666</xdr:colOff>
      <xdr:row>5</xdr:row>
      <xdr:rowOff>432</xdr:rowOff>
    </xdr:from>
    <xdr:to>
      <xdr:col>20</xdr:col>
      <xdr:colOff>11140</xdr:colOff>
      <xdr:row>10</xdr:row>
      <xdr:rowOff>28150</xdr:rowOff>
    </xdr:to>
    <xdr:sp macro="" textlink="">
      <xdr:nvSpPr>
        <xdr:cNvPr id="87" name="Rectangle: Rounded Corners 86">
          <a:extLst>
            <a:ext uri="{FF2B5EF4-FFF2-40B4-BE49-F238E27FC236}">
              <a16:creationId xmlns:a16="http://schemas.microsoft.com/office/drawing/2014/main" id="{471DA503-DEEC-4BE7-B250-D6B80F09C305}"/>
            </a:ext>
          </a:extLst>
        </xdr:cNvPr>
        <xdr:cNvSpPr/>
      </xdr:nvSpPr>
      <xdr:spPr>
        <a:xfrm>
          <a:off x="10101175" y="947362"/>
          <a:ext cx="2164351" cy="974648"/>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269969</xdr:colOff>
      <xdr:row>6</xdr:row>
      <xdr:rowOff>134700</xdr:rowOff>
    </xdr:from>
    <xdr:to>
      <xdr:col>19</xdr:col>
      <xdr:colOff>334463</xdr:colOff>
      <xdr:row>9</xdr:row>
      <xdr:rowOff>185894</xdr:rowOff>
    </xdr:to>
    <xdr:sp macro="" textlink="'ATTRITION RATE'!$B$5">
      <xdr:nvSpPr>
        <xdr:cNvPr id="89" name="Rectangle 88">
          <a:extLst>
            <a:ext uri="{FF2B5EF4-FFF2-40B4-BE49-F238E27FC236}">
              <a16:creationId xmlns:a16="http://schemas.microsoft.com/office/drawing/2014/main" id="{48C4670D-DF6F-4B80-8FAB-CC0434827B94}"/>
            </a:ext>
          </a:extLst>
        </xdr:cNvPr>
        <xdr:cNvSpPr/>
      </xdr:nvSpPr>
      <xdr:spPr>
        <a:xfrm>
          <a:off x="10686197" y="1271016"/>
          <a:ext cx="1289933" cy="6193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A791F1C3-5DF4-4BE4-9E2C-E400B7840CD8}" type="TxLink">
            <a:rPr lang="en-US" sz="4400" b="0" i="0" u="none" strike="noStrike">
              <a:solidFill>
                <a:srgbClr val="000000"/>
              </a:solidFill>
              <a:latin typeface="Calibri"/>
              <a:ea typeface="+mn-ea"/>
              <a:cs typeface="Calibri"/>
            </a:rPr>
            <a:pPr marL="0" indent="0" algn="l"/>
            <a:t>29%</a:t>
          </a:fld>
          <a:endParaRPr lang="en-US" sz="4400" b="0" i="0" u="none" strike="noStrike">
            <a:solidFill>
              <a:srgbClr val="000000"/>
            </a:solidFill>
            <a:latin typeface="Calibri"/>
            <a:ea typeface="+mn-ea"/>
            <a:cs typeface="Calibri"/>
          </a:endParaRPr>
        </a:p>
      </xdr:txBody>
    </xdr:sp>
    <xdr:clientData/>
  </xdr:twoCellAnchor>
  <xdr:twoCellAnchor>
    <xdr:from>
      <xdr:col>16</xdr:col>
      <xdr:colOff>289650</xdr:colOff>
      <xdr:row>4</xdr:row>
      <xdr:rowOff>178244</xdr:rowOff>
    </xdr:from>
    <xdr:to>
      <xdr:col>20</xdr:col>
      <xdr:colOff>86847</xdr:colOff>
      <xdr:row>6</xdr:row>
      <xdr:rowOff>112277</xdr:rowOff>
    </xdr:to>
    <xdr:sp macro="" textlink="">
      <xdr:nvSpPr>
        <xdr:cNvPr id="90" name="TextBox 89">
          <a:extLst>
            <a:ext uri="{FF2B5EF4-FFF2-40B4-BE49-F238E27FC236}">
              <a16:creationId xmlns:a16="http://schemas.microsoft.com/office/drawing/2014/main" id="{4BEEB615-0B56-43CE-B04D-6A721E94F59D}"/>
            </a:ext>
          </a:extLst>
        </xdr:cNvPr>
        <xdr:cNvSpPr txBox="1"/>
      </xdr:nvSpPr>
      <xdr:spPr>
        <a:xfrm>
          <a:off x="10093159" y="935788"/>
          <a:ext cx="2248074" cy="312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latin typeface="Arial Black" panose="020B0A04020102020204" pitchFamily="34" charset="0"/>
            </a:rPr>
            <a:t>ATTRITION</a:t>
          </a:r>
          <a:r>
            <a:rPr lang="en-US" sz="1600" baseline="0">
              <a:latin typeface="Arial Black" panose="020B0A04020102020204" pitchFamily="34" charset="0"/>
            </a:rPr>
            <a:t> RATE</a:t>
          </a:r>
          <a:endParaRPr lang="en-US" sz="1600">
            <a:latin typeface="Arial Black" panose="020B0A040201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180975</xdr:colOff>
      <xdr:row>4</xdr:row>
      <xdr:rowOff>6350</xdr:rowOff>
    </xdr:from>
    <xdr:to>
      <xdr:col>12</xdr:col>
      <xdr:colOff>730250</xdr:colOff>
      <xdr:row>16</xdr:row>
      <xdr:rowOff>101600</xdr:rowOff>
    </xdr:to>
    <xdr:graphicFrame macro="">
      <xdr:nvGraphicFramePr>
        <xdr:cNvPr id="2" name="Chart 1">
          <a:extLst>
            <a:ext uri="{FF2B5EF4-FFF2-40B4-BE49-F238E27FC236}">
              <a16:creationId xmlns:a16="http://schemas.microsoft.com/office/drawing/2014/main" id="{5148D5A1-D7C6-31BF-E46F-F6BE3B2F53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768349</xdr:colOff>
      <xdr:row>3</xdr:row>
      <xdr:rowOff>0</xdr:rowOff>
    </xdr:from>
    <xdr:to>
      <xdr:col>15</xdr:col>
      <xdr:colOff>447674</xdr:colOff>
      <xdr:row>17</xdr:row>
      <xdr:rowOff>0</xdr:rowOff>
    </xdr:to>
    <xdr:graphicFrame macro="">
      <xdr:nvGraphicFramePr>
        <xdr:cNvPr id="4" name="Chart 3">
          <a:extLst>
            <a:ext uri="{FF2B5EF4-FFF2-40B4-BE49-F238E27FC236}">
              <a16:creationId xmlns:a16="http://schemas.microsoft.com/office/drawing/2014/main" id="{11113F82-9A5B-59E2-45E2-699660C6F8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196850</xdr:colOff>
      <xdr:row>13</xdr:row>
      <xdr:rowOff>127000</xdr:rowOff>
    </xdr:from>
    <xdr:to>
      <xdr:col>14</xdr:col>
      <xdr:colOff>215900</xdr:colOff>
      <xdr:row>26</xdr:row>
      <xdr:rowOff>38100</xdr:rowOff>
    </xdr:to>
    <xdr:graphicFrame macro="">
      <xdr:nvGraphicFramePr>
        <xdr:cNvPr id="5" name="Chart 4">
          <a:extLst>
            <a:ext uri="{FF2B5EF4-FFF2-40B4-BE49-F238E27FC236}">
              <a16:creationId xmlns:a16="http://schemas.microsoft.com/office/drawing/2014/main" id="{1AD1C842-5228-2F05-6451-CBB17F54B3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e Kamau" refreshedDate="46002.491876041669" createdVersion="8" refreshedVersion="8" minRefreshableVersion="3" recordCount="100" xr:uid="{42592CBF-3D14-497E-9B80-21D91D048EC5}">
  <cacheSource type="worksheet">
    <worksheetSource name="EmpData"/>
  </cacheSource>
  <cacheFields count="18">
    <cacheField name="Employee_ID" numFmtId="2">
      <sharedItems/>
    </cacheField>
    <cacheField name="First_Name" numFmtId="49">
      <sharedItems/>
    </cacheField>
    <cacheField name="Last_Name" numFmtId="49">
      <sharedItems/>
    </cacheField>
    <cacheField name="Gender" numFmtId="49">
      <sharedItems count="2">
        <s v="Male"/>
        <s v="Female"/>
      </sharedItems>
    </cacheField>
    <cacheField name="Age" numFmtId="1">
      <sharedItems containsSemiMixedTypes="0" containsString="0" containsNumber="1" containsInteger="1" minValue="22" maxValue="55" count="32">
        <n v="33"/>
        <n v="36"/>
        <n v="51"/>
        <n v="39"/>
        <n v="48"/>
        <n v="28"/>
        <n v="46"/>
        <n v="32"/>
        <n v="38"/>
        <n v="40"/>
        <n v="45"/>
        <n v="30"/>
        <n v="22"/>
        <n v="34"/>
        <n v="26"/>
        <n v="43"/>
        <n v="49"/>
        <n v="37"/>
        <n v="35"/>
        <n v="44"/>
        <n v="54"/>
        <n v="55"/>
        <n v="31"/>
        <n v="47"/>
        <n v="42"/>
        <n v="53"/>
        <n v="29"/>
        <n v="25"/>
        <n v="27"/>
        <n v="41"/>
        <n v="24"/>
        <n v="50"/>
      </sharedItems>
    </cacheField>
    <cacheField name="Department" numFmtId="49">
      <sharedItems/>
    </cacheField>
    <cacheField name="Job_Title" numFmtId="49">
      <sharedItems/>
    </cacheField>
    <cacheField name="Hire_Date" numFmtId="14">
      <sharedItems containsSemiMixedTypes="0" containsNonDate="0" containsDate="1" containsString="0" minDate="2015-01-03T00:00:00" maxDate="2024-12-21T00:00:00" count="100">
        <d v="2016-01-22T00:00:00"/>
        <d v="2020-08-03T00:00:00"/>
        <d v="2015-10-09T00:00:00"/>
        <d v="2016-08-17T00:00:00"/>
        <d v="2020-07-13T00:00:00"/>
        <d v="2016-04-14T00:00:00"/>
        <d v="2022-03-20T00:00:00"/>
        <d v="2021-07-22T00:00:00"/>
        <d v="2020-05-22T00:00:00"/>
        <d v="2019-03-31T00:00:00"/>
        <d v="2018-05-31T00:00:00"/>
        <d v="2016-05-02T00:00:00"/>
        <d v="2017-11-30T00:00:00"/>
        <d v="2024-08-01T00:00:00"/>
        <d v="2017-02-14T00:00:00"/>
        <d v="2015-11-27T00:00:00"/>
        <d v="2024-12-02T00:00:00"/>
        <d v="2019-09-21T00:00:00"/>
        <d v="2021-12-27T00:00:00"/>
        <d v="2018-02-11T00:00:00"/>
        <d v="2019-02-25T00:00:00"/>
        <d v="2024-08-27T00:00:00"/>
        <d v="2023-08-29T00:00:00"/>
        <d v="2018-09-04T00:00:00"/>
        <d v="2015-03-05T00:00:00"/>
        <d v="2021-11-17T00:00:00"/>
        <d v="2017-09-11T00:00:00"/>
        <d v="2015-09-02T00:00:00"/>
        <d v="2021-05-29T00:00:00"/>
        <d v="2015-07-07T00:00:00"/>
        <d v="2017-05-27T00:00:00"/>
        <d v="2019-11-20T00:00:00"/>
        <d v="2019-10-22T00:00:00"/>
        <d v="2019-02-11T00:00:00"/>
        <d v="2018-04-09T00:00:00"/>
        <d v="2024-08-10T00:00:00"/>
        <d v="2015-07-04T00:00:00"/>
        <d v="2020-07-09T00:00:00"/>
        <d v="2021-06-24T00:00:00"/>
        <d v="2018-09-01T00:00:00"/>
        <d v="2020-01-20T00:00:00"/>
        <d v="2020-10-28T00:00:00"/>
        <d v="2015-01-14T00:00:00"/>
        <d v="2019-04-25T00:00:00"/>
        <d v="2019-10-27T00:00:00"/>
        <d v="2018-03-21T00:00:00"/>
        <d v="2015-11-05T00:00:00"/>
        <d v="2024-02-28T00:00:00"/>
        <d v="2015-01-22T00:00:00"/>
        <d v="2019-09-13T00:00:00"/>
        <d v="2015-02-08T00:00:00"/>
        <d v="2018-12-27T00:00:00"/>
        <d v="2021-10-22T00:00:00"/>
        <d v="2020-03-15T00:00:00"/>
        <d v="2019-06-12T00:00:00"/>
        <d v="2021-03-20T00:00:00"/>
        <d v="2023-03-14T00:00:00"/>
        <d v="2023-10-04T00:00:00"/>
        <d v="2023-04-27T00:00:00"/>
        <d v="2024-09-11T00:00:00"/>
        <d v="2016-02-03T00:00:00"/>
        <d v="2020-04-24T00:00:00"/>
        <d v="2015-03-20T00:00:00"/>
        <d v="2024-12-20T00:00:00"/>
        <d v="2021-11-19T00:00:00"/>
        <d v="2024-07-19T00:00:00"/>
        <d v="2022-09-10T00:00:00"/>
        <d v="2021-02-16T00:00:00"/>
        <d v="2019-08-11T00:00:00"/>
        <d v="2023-02-18T00:00:00"/>
        <d v="2016-06-06T00:00:00"/>
        <d v="2015-01-03T00:00:00"/>
        <d v="2017-11-06T00:00:00"/>
        <d v="2016-01-25T00:00:00"/>
        <d v="2022-07-20T00:00:00"/>
        <d v="2023-03-26T00:00:00"/>
        <d v="2015-08-02T00:00:00"/>
        <d v="2016-06-13T00:00:00"/>
        <d v="2019-06-23T00:00:00"/>
        <d v="2021-04-01T00:00:00"/>
        <d v="2018-02-06T00:00:00"/>
        <d v="2018-05-10T00:00:00"/>
        <d v="2022-03-17T00:00:00"/>
        <d v="2019-05-24T00:00:00"/>
        <d v="2015-04-15T00:00:00"/>
        <d v="2018-08-29T00:00:00"/>
        <d v="2022-05-29T00:00:00"/>
        <d v="2018-06-26T00:00:00"/>
        <d v="2018-02-25T00:00:00"/>
        <d v="2015-06-05T00:00:00"/>
        <d v="2019-11-28T00:00:00"/>
        <d v="2018-01-15T00:00:00"/>
        <d v="2021-09-06T00:00:00"/>
        <d v="2024-04-28T00:00:00"/>
        <d v="2023-12-16T00:00:00"/>
        <d v="2019-11-08T00:00:00"/>
        <d v="2023-02-20T00:00:00"/>
        <d v="2020-02-04T00:00:00"/>
        <d v="2017-03-13T00:00:00"/>
        <d v="2017-02-25T00:00:00"/>
      </sharedItems>
      <fieldGroup par="17"/>
    </cacheField>
    <cacheField name="Exit_Date" numFmtId="14">
      <sharedItems containsNonDate="0" containsDate="1" containsString="0" containsBlank="1" minDate="2015-12-27T00:00:00" maxDate="2024-11-12T00:00:00"/>
    </cacheField>
    <cacheField name="Salary" numFmtId="164">
      <sharedItems containsSemiMixedTypes="0" containsString="0" containsNumber="1" containsInteger="1" minValue="40333" maxValue="199043"/>
    </cacheField>
    <cacheField name="Location" numFmtId="49">
      <sharedItems/>
    </cacheField>
    <cacheField name="Employment_Type" numFmtId="49">
      <sharedItems/>
    </cacheField>
    <cacheField name="Performance_Score" numFmtId="1">
      <sharedItems containsSemiMixedTypes="0" containsString="0" containsNumber="1" containsInteger="1" minValue="1" maxValue="5"/>
    </cacheField>
    <cacheField name="Tenure(Years)" numFmtId="1">
      <sharedItems containsSemiMixedTypes="0" containsString="0" containsNumber="1" containsInteger="1" minValue="0" maxValue="10" count="11">
        <n v="9"/>
        <n v="0"/>
        <n v="2"/>
        <n v="4"/>
        <n v="8"/>
        <n v="3"/>
        <n v="5"/>
        <n v="6"/>
        <n v="7"/>
        <n v="1"/>
        <n v="10"/>
      </sharedItems>
      <fieldGroup base="13">
        <rangePr startNum="0" endNum="10" groupInterval="3"/>
        <groupItems count="6">
          <s v="&lt;0"/>
          <s v="0-2"/>
          <s v="3-5"/>
          <s v="6-8"/>
          <s v="9-11"/>
          <s v="&gt;12"/>
        </groupItems>
      </fieldGroup>
    </cacheField>
    <cacheField name="Status" numFmtId="0">
      <sharedItems count="2">
        <s v="Active"/>
        <s v="Exited"/>
      </sharedItems>
    </cacheField>
    <cacheField name="Tenure_Category" numFmtId="0">
      <sharedItems count="4">
        <s v="Experienced"/>
        <s v="New Staff"/>
        <s v="Intermediate"/>
        <s v="Veteran"/>
      </sharedItems>
    </cacheField>
    <cacheField name="Age_Group " numFmtId="0">
      <sharedItems count="4">
        <s v="30-39"/>
        <s v="50+"/>
        <s v="40-49"/>
        <s v="Under 30"/>
      </sharedItems>
    </cacheField>
    <cacheField name="Years (Hire_Date)" numFmtId="0" databaseField="0">
      <fieldGroup base="7">
        <rangePr groupBy="years" startDate="2015-01-03T00:00:00" endDate="2024-12-21T00:00:00"/>
        <groupItems count="12">
          <s v="&lt;03-01-15"/>
          <s v="2015"/>
          <s v="2016"/>
          <s v="2017"/>
          <s v="2018"/>
          <s v="2019"/>
          <s v="2020"/>
          <s v="2021"/>
          <s v="2022"/>
          <s v="2023"/>
          <s v="2024"/>
          <s v="&gt;21-12-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Kamau" refreshedDate="46006.423111342592" backgroundQuery="1" createdVersion="8" refreshedVersion="8" minRefreshableVersion="3" recordCount="0" supportSubquery="1" supportAdvancedDrill="1" xr:uid="{676E881C-5C47-4258-A1AD-4E7A280E4FA7}">
  <cacheSource type="external" connectionId="1"/>
  <cacheFields count="5">
    <cacheField name="[EmpData].[Status].[Status]" caption="Status" numFmtId="0" hierarchy="14" level="1">
      <sharedItems containsSemiMixedTypes="0" containsNonDate="0" containsString="0"/>
    </cacheField>
    <cacheField name="[EmpData].[Age_Group].[Age_Group]" caption="Age_Group" numFmtId="0" hierarchy="16" level="1">
      <sharedItems count="4">
        <s v="30-39"/>
        <s v="40-49"/>
        <s v="50+"/>
        <s v="Under 30"/>
      </sharedItems>
    </cacheField>
    <cacheField name="[Measures].[Count of Employee_ID]" caption="Count of Employee_ID" numFmtId="0" hierarchy="28" level="32767"/>
    <cacheField name="[EmpData].[Tenure_Category].[Tenure_Category]" caption="Tenure_Category" numFmtId="0" hierarchy="15" level="1">
      <sharedItems containsSemiMixedTypes="0" containsNonDate="0" containsString="0"/>
    </cacheField>
    <cacheField name="[EmpData].[Department].[Department]" caption="Department" numFmtId="0" hierarchy="5" level="1">
      <sharedItems containsSemiMixedTypes="0" containsNonDate="0" containsString="0"/>
    </cacheField>
  </cacheFields>
  <cacheHierarchies count="41">
    <cacheHierarchy uniqueName="[EmpData].[Employee_ID]" caption="Employee_ID" attribute="1" defaultMemberUniqueName="[EmpData].[Employee_ID].[All]" allUniqueName="[EmpData].[Employee_ID].[All]" dimensionUniqueName="[EmpData]" displayFolder="" count="0" memberValueDatatype="130" unbalanced="0"/>
    <cacheHierarchy uniqueName="[EmpData].[First_Name]" caption="First_Name" attribute="1" defaultMemberUniqueName="[EmpData].[First_Name].[All]" allUniqueName="[EmpData].[First_Name].[All]" dimensionUniqueName="[EmpData]" displayFolder="" count="0" memberValueDatatype="130" unbalanced="0"/>
    <cacheHierarchy uniqueName="[EmpData].[Last_Name]" caption="Last_Name" attribute="1" defaultMemberUniqueName="[EmpData].[Last_Name].[All]" allUniqueName="[EmpData].[Last_Name].[All]" dimensionUniqueName="[EmpData]" displayFolder="" count="0" memberValueDatatype="130" unbalanced="0"/>
    <cacheHierarchy uniqueName="[EmpData].[Gender]" caption="Gender" attribute="1" defaultMemberUniqueName="[EmpData].[Gender].[All]" allUniqueName="[EmpData].[Gender].[All]" dimensionUniqueName="[EmpData]" displayFolder="" count="2" memberValueDatatype="130" unbalanced="0"/>
    <cacheHierarchy uniqueName="[EmpData].[Age]" caption="Age" attribute="1" defaultMemberUniqueName="[EmpData].[Age].[All]" allUniqueName="[EmpData].[Age].[All]" dimensionUniqueName="[EmpData]" displayFolder="" count="0" memberValueDatatype="20" unbalanced="0"/>
    <cacheHierarchy uniqueName="[EmpData].[Department]" caption="Department" attribute="1" defaultMemberUniqueName="[EmpData].[Department].[All]" allUniqueName="[EmpData].[Department].[All]" dimensionUniqueName="[EmpData]" displayFolder="" count="2" memberValueDatatype="130" unbalanced="0">
      <fieldsUsage count="2">
        <fieldUsage x="-1"/>
        <fieldUsage x="4"/>
      </fieldsUsage>
    </cacheHierarchy>
    <cacheHierarchy uniqueName="[EmpData].[Job_Title]" caption="Job_Title" attribute="1" defaultMemberUniqueName="[EmpData].[Job_Title].[All]" allUniqueName="[EmpData].[Job_Title].[All]" dimensionUniqueName="[EmpData]" displayFolder="" count="0" memberValueDatatype="130" unbalanced="0"/>
    <cacheHierarchy uniqueName="[EmpData].[Hire_Date]" caption="Hire_Date" attribute="1" time="1" defaultMemberUniqueName="[EmpData].[Hire_Date].[All]" allUniqueName="[EmpData].[Hire_Date].[All]" dimensionUniqueName="[EmpData]" displayFolder="" count="0" memberValueDatatype="7" unbalanced="0"/>
    <cacheHierarchy uniqueName="[EmpData].[Exit_Date]" caption="Exit_Date" attribute="1" time="1" defaultMemberUniqueName="[EmpData].[Exit_Date].[All]" allUniqueName="[EmpData].[Exit_Date].[All]" dimensionUniqueName="[EmpData]" displayFolder="" count="0" memberValueDatatype="7" unbalanced="0"/>
    <cacheHierarchy uniqueName="[EmpData].[Salary]" caption="Salary" attribute="1" defaultMemberUniqueName="[EmpData].[Salary].[All]" allUniqueName="[EmpData].[Salary].[All]" dimensionUniqueName="[EmpData]" displayFolder="" count="0" memberValueDatatype="20" unbalanced="0"/>
    <cacheHierarchy uniqueName="[EmpData].[Location]" caption="Location" attribute="1" defaultMemberUniqueName="[EmpData].[Location].[All]" allUniqueName="[EmpData].[Location].[All]" dimensionUniqueName="[EmpData]" displayFolder="" count="0" memberValueDatatype="130" unbalanced="0"/>
    <cacheHierarchy uniqueName="[EmpData].[Employment_Type]" caption="Employment_Type" attribute="1" defaultMemberUniqueName="[EmpData].[Employment_Type].[All]" allUniqueName="[EmpData].[Employment_Type].[All]" dimensionUniqueName="[EmpData]" displayFolder="" count="2" memberValueDatatype="130" unbalanced="0"/>
    <cacheHierarchy uniqueName="[EmpData].[Performance_Score]" caption="Performance_Score" attribute="1" defaultMemberUniqueName="[EmpData].[Performance_Score].[All]" allUniqueName="[EmpData].[Performance_Score].[All]" dimensionUniqueName="[EmpData]" displayFolder="" count="0" memberValueDatatype="20" unbalanced="0"/>
    <cacheHierarchy uniqueName="[EmpData].[Tenure(Years)]" caption="Tenure(Years)" attribute="1" defaultMemberUniqueName="[EmpData].[Tenure(Years)].[All]" allUniqueName="[EmpData].[Tenure(Years)].[All]" dimensionUniqueName="[EmpData]" displayFolder="" count="0" memberValueDatatype="20" unbalanced="0"/>
    <cacheHierarchy uniqueName="[EmpData].[Status]" caption="Status" attribute="1" defaultMemberUniqueName="[EmpData].[Status].[All]" allUniqueName="[EmpData].[Status].[All]" dimensionUniqueName="[EmpData]" displayFolder="" count="2" memberValueDatatype="130" unbalanced="0">
      <fieldsUsage count="2">
        <fieldUsage x="-1"/>
        <fieldUsage x="0"/>
      </fieldsUsage>
    </cacheHierarchy>
    <cacheHierarchy uniqueName="[EmpData].[Tenure_Category]" caption="Tenure_Category" attribute="1" defaultMemberUniqueName="[EmpData].[Tenure_Category].[All]" allUniqueName="[EmpData].[Tenure_Category].[All]" dimensionUniqueName="[EmpData]" displayFolder="" count="2" memberValueDatatype="130" unbalanced="0">
      <fieldsUsage count="2">
        <fieldUsage x="-1"/>
        <fieldUsage x="3"/>
      </fieldsUsage>
    </cacheHierarchy>
    <cacheHierarchy uniqueName="[EmpData].[Age_Group]" caption="Age_Group" attribute="1" defaultMemberUniqueName="[EmpData].[Age_Group].[All]" allUniqueName="[EmpData].[Age_Group].[All]" dimensionUniqueName="[EmpData]" displayFolder="" count="2" memberValueDatatype="130" unbalanced="0">
      <fieldsUsage count="2">
        <fieldUsage x="-1"/>
        <fieldUsage x="1"/>
      </fieldsUsage>
    </cacheHierarchy>
    <cacheHierarchy uniqueName="[EmpData].[Hire_Date (Year)]" caption="Hire_Date (Year)" attribute="1" defaultMemberUniqueName="[EmpData].[Hire_Date (Year)].[All]" allUniqueName="[EmpData].[Hire_Date (Year)].[All]" dimensionUniqueName="[EmpData]" displayFolder="" count="0" memberValueDatatype="130" unbalanced="0"/>
    <cacheHierarchy uniqueName="[EmpData].[Hire_Date (Quarter)]" caption="Hire_Date (Quarter)" attribute="1" defaultMemberUniqueName="[EmpData].[Hire_Date (Quarter)].[All]" allUniqueName="[EmpData].[Hire_Date (Quarter)].[All]" dimensionUniqueName="[EmpData]" displayFolder="" count="0" memberValueDatatype="130" unbalanced="0"/>
    <cacheHierarchy uniqueName="[EmpData].[Hire_Date (Month)]" caption="Hire_Date (Month)" attribute="1" defaultMemberUniqueName="[EmpData].[Hire_Date (Month)].[All]" allUniqueName="[EmpData].[Hire_Date (Month)].[All]" dimensionUniqueName="[EmpData]" displayFolder="" count="0" memberValueDatatype="130" unbalanced="0"/>
    <cacheHierarchy uniqueName="[Table2].[Department]" caption="Department" attribute="1" defaultMemberUniqueName="[Table2].[Department].[All]" allUniqueName="[Table2].[Department].[All]" dimensionUniqueName="[Table2]" displayFolder="" count="0" memberValueDatatype="130" unbalanced="0"/>
    <cacheHierarchy uniqueName="[Table2].[Exited]" caption="Exited" attribute="1" defaultMemberUniqueName="[Table2].[Exited].[All]" allUniqueName="[Table2].[Exited].[All]" dimensionUniqueName="[Table2]" displayFolder="" count="0" memberValueDatatype="20" unbalanced="0"/>
    <cacheHierarchy uniqueName="[Table2].[Total Department Headcount]" caption="Total Department Headcount" attribute="1" defaultMemberUniqueName="[Table2].[Total Department Headcount].[All]" allUniqueName="[Table2].[Total Department Headcount].[All]" dimensionUniqueName="[Table2]" displayFolder="" count="0" memberValueDatatype="20" unbalanced="0"/>
    <cacheHierarchy uniqueName="[Table2].[Attrition Rate]" caption="Attrition Rate" attribute="1" defaultMemberUniqueName="[Table2].[Attrition Rate].[All]" allUniqueName="[Table2].[Attrition Rate].[All]" dimensionUniqueName="[Table2]" displayFolder="" count="0" memberValueDatatype="5" unbalanced="0"/>
    <cacheHierarchy uniqueName="[EmpData].[Hire_Date (Month Index)]" caption="Hire_Date (Month Index)" attribute="1" defaultMemberUniqueName="[EmpData].[Hire_Date (Month Index)].[All]" allUniqueName="[EmpData].[Hire_Date (Month Index)].[All]" dimensionUniqueName="[EmpData]" displayFolder="" count="0" memberValueDatatype="20" unbalanced="0" hidden="1"/>
    <cacheHierarchy uniqueName="[Measures].[__XL_Count EmpData]" caption="__XL_Count EmpData" measure="1" displayFolder="" measureGroup="Emp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loyee_ID]" caption="Count of Employee_ID" measure="1" displayFolder="" measureGroup="EmpData"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EmpData" count="0" hidden="1">
      <extLst>
        <ext xmlns:x15="http://schemas.microsoft.com/office/spreadsheetml/2010/11/main" uri="{B97F6D7D-B522-45F9-BDA1-12C45D357490}">
          <x15:cacheHierarchy aggregatedColumn="9"/>
        </ext>
      </extLst>
    </cacheHierarchy>
    <cacheHierarchy uniqueName="[Measures].[Sum of Performance_Score]" caption="Sum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Performance_Score]" caption="Count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Average of Performance_Score]" caption="Average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Age_Group]" caption="Count of Age_Group" measure="1" displayFolder="" measureGroup="Emp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EmpData" count="0" hidden="1">
      <extLst>
        <ext xmlns:x15="http://schemas.microsoft.com/office/spreadsheetml/2010/11/main" uri="{B97F6D7D-B522-45F9-BDA1-12C45D357490}">
          <x15:cacheHierarchy aggregatedColumn="9"/>
        </ext>
      </extLst>
    </cacheHierarchy>
    <cacheHierarchy uniqueName="[Measures].[Sum of Attrition Rate]" caption="Sum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Attrition Rate]" caption="Count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EmpData"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EmpData"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Emp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EmpData" count="0" hidden="1">
      <extLst>
        <ext xmlns:x15="http://schemas.microsoft.com/office/spreadsheetml/2010/11/main" uri="{B97F6D7D-B522-45F9-BDA1-12C45D357490}">
          <x15:cacheHierarchy aggregatedColumn="3"/>
        </ext>
      </extLst>
    </cacheHierarchy>
  </cacheHierarchies>
  <kpis count="0"/>
  <dimensions count="3">
    <dimension name="EmpData" uniqueName="[EmpData]" caption="EmpData"/>
    <dimension measure="1" name="Measures" uniqueName="[Measures]" caption="Measures"/>
    <dimension name="Table2" uniqueName="[Table2]" caption="Table2"/>
  </dimensions>
  <measureGroups count="2">
    <measureGroup name="EmpData" caption="Emp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Kamau" refreshedDate="46006.423112152777" backgroundQuery="1" createdVersion="8" refreshedVersion="8" minRefreshableVersion="3" recordCount="0" supportSubquery="1" supportAdvancedDrill="1" xr:uid="{9048BCD7-43B0-4AA7-B896-7FFEE329BE0E}">
  <cacheSource type="external" connectionId="1"/>
  <cacheFields count="3">
    <cacheField name="[EmpData].[Department].[Department]" caption="Department" numFmtId="0" hierarchy="5" level="1">
      <sharedItems count="7">
        <s v="Customer Service"/>
        <s v="Finance"/>
        <s v="HR"/>
        <s v="IT"/>
        <s v="Marketing"/>
        <s v="Operations"/>
        <s v="Sales"/>
      </sharedItems>
    </cacheField>
    <cacheField name="[Measures].[Average of Salary]" caption="Average of Salary" numFmtId="0" hierarchy="34" level="32767"/>
    <cacheField name="[EmpData].[Tenure_Category].[Tenure_Category]" caption="Tenure_Category" numFmtId="0" hierarchy="15" level="1">
      <sharedItems containsSemiMixedTypes="0" containsNonDate="0" containsString="0"/>
    </cacheField>
  </cacheFields>
  <cacheHierarchies count="41">
    <cacheHierarchy uniqueName="[EmpData].[Employee_ID]" caption="Employee_ID" attribute="1" defaultMemberUniqueName="[EmpData].[Employee_ID].[All]" allUniqueName="[EmpData].[Employee_ID].[All]" dimensionUniqueName="[EmpData]" displayFolder="" count="0" memberValueDatatype="130" unbalanced="0"/>
    <cacheHierarchy uniqueName="[EmpData].[First_Name]" caption="First_Name" attribute="1" defaultMemberUniqueName="[EmpData].[First_Name].[All]" allUniqueName="[EmpData].[First_Name].[All]" dimensionUniqueName="[EmpData]" displayFolder="" count="0" memberValueDatatype="130" unbalanced="0"/>
    <cacheHierarchy uniqueName="[EmpData].[Last_Name]" caption="Last_Name" attribute="1" defaultMemberUniqueName="[EmpData].[Last_Name].[All]" allUniqueName="[EmpData].[Last_Name].[All]" dimensionUniqueName="[EmpData]" displayFolder="" count="0" memberValueDatatype="130" unbalanced="0"/>
    <cacheHierarchy uniqueName="[EmpData].[Gender]" caption="Gender" attribute="1" defaultMemberUniqueName="[EmpData].[Gender].[All]" allUniqueName="[EmpData].[Gender].[All]" dimensionUniqueName="[EmpData]" displayFolder="" count="2" memberValueDatatype="130" unbalanced="0"/>
    <cacheHierarchy uniqueName="[EmpData].[Age]" caption="Age" attribute="1" defaultMemberUniqueName="[EmpData].[Age].[All]" allUniqueName="[EmpData].[Age].[All]" dimensionUniqueName="[EmpData]" displayFolder="" count="0" memberValueDatatype="20" unbalanced="0"/>
    <cacheHierarchy uniqueName="[EmpData].[Department]" caption="Department" attribute="1" defaultMemberUniqueName="[EmpData].[Department].[All]" allUniqueName="[EmpData].[Department].[All]" dimensionUniqueName="[EmpData]" displayFolder="" count="2" memberValueDatatype="130" unbalanced="0">
      <fieldsUsage count="2">
        <fieldUsage x="-1"/>
        <fieldUsage x="0"/>
      </fieldsUsage>
    </cacheHierarchy>
    <cacheHierarchy uniqueName="[EmpData].[Job_Title]" caption="Job_Title" attribute="1" defaultMemberUniqueName="[EmpData].[Job_Title].[All]" allUniqueName="[EmpData].[Job_Title].[All]" dimensionUniqueName="[EmpData]" displayFolder="" count="0" memberValueDatatype="130" unbalanced="0"/>
    <cacheHierarchy uniqueName="[EmpData].[Hire_Date]" caption="Hire_Date" attribute="1" time="1" defaultMemberUniqueName="[EmpData].[Hire_Date].[All]" allUniqueName="[EmpData].[Hire_Date].[All]" dimensionUniqueName="[EmpData]" displayFolder="" count="0" memberValueDatatype="7" unbalanced="0"/>
    <cacheHierarchy uniqueName="[EmpData].[Exit_Date]" caption="Exit_Date" attribute="1" time="1" defaultMemberUniqueName="[EmpData].[Exit_Date].[All]" allUniqueName="[EmpData].[Exit_Date].[All]" dimensionUniqueName="[EmpData]" displayFolder="" count="0" memberValueDatatype="7" unbalanced="0"/>
    <cacheHierarchy uniqueName="[EmpData].[Salary]" caption="Salary" attribute="1" defaultMemberUniqueName="[EmpData].[Salary].[All]" allUniqueName="[EmpData].[Salary].[All]" dimensionUniqueName="[EmpData]" displayFolder="" count="0" memberValueDatatype="20" unbalanced="0"/>
    <cacheHierarchy uniqueName="[EmpData].[Location]" caption="Location" attribute="1" defaultMemberUniqueName="[EmpData].[Location].[All]" allUniqueName="[EmpData].[Location].[All]" dimensionUniqueName="[EmpData]" displayFolder="" count="0" memberValueDatatype="130" unbalanced="0"/>
    <cacheHierarchy uniqueName="[EmpData].[Employment_Type]" caption="Employment_Type" attribute="1" defaultMemberUniqueName="[EmpData].[Employment_Type].[All]" allUniqueName="[EmpData].[Employment_Type].[All]" dimensionUniqueName="[EmpData]" displayFolder="" count="2" memberValueDatatype="130" unbalanced="0"/>
    <cacheHierarchy uniqueName="[EmpData].[Performance_Score]" caption="Performance_Score" attribute="1" defaultMemberUniqueName="[EmpData].[Performance_Score].[All]" allUniqueName="[EmpData].[Performance_Score].[All]" dimensionUniqueName="[EmpData]" displayFolder="" count="0" memberValueDatatype="20" unbalanced="0"/>
    <cacheHierarchy uniqueName="[EmpData].[Tenure(Years)]" caption="Tenure(Years)" attribute="1" defaultMemberUniqueName="[EmpData].[Tenure(Years)].[All]" allUniqueName="[EmpData].[Tenure(Years)].[All]" dimensionUniqueName="[EmpData]" displayFolder="" count="0" memberValueDatatype="20" unbalanced="0"/>
    <cacheHierarchy uniqueName="[EmpData].[Status]" caption="Status" attribute="1" defaultMemberUniqueName="[EmpData].[Status].[All]" allUniqueName="[EmpData].[Status].[All]" dimensionUniqueName="[EmpData]" displayFolder="" count="2" memberValueDatatype="130" unbalanced="0"/>
    <cacheHierarchy uniqueName="[EmpData].[Tenure_Category]" caption="Tenure_Category" attribute="1" defaultMemberUniqueName="[EmpData].[Tenure_Category].[All]" allUniqueName="[EmpData].[Tenure_Category].[All]" dimensionUniqueName="[EmpData]" displayFolder="" count="2" memberValueDatatype="130" unbalanced="0">
      <fieldsUsage count="2">
        <fieldUsage x="-1"/>
        <fieldUsage x="2"/>
      </fieldsUsage>
    </cacheHierarchy>
    <cacheHierarchy uniqueName="[EmpData].[Age_Group]" caption="Age_Group" attribute="1" defaultMemberUniqueName="[EmpData].[Age_Group].[All]" allUniqueName="[EmpData].[Age_Group].[All]" dimensionUniqueName="[EmpData]" displayFolder="" count="2" memberValueDatatype="130" unbalanced="0"/>
    <cacheHierarchy uniqueName="[EmpData].[Hire_Date (Year)]" caption="Hire_Date (Year)" attribute="1" defaultMemberUniqueName="[EmpData].[Hire_Date (Year)].[All]" allUniqueName="[EmpData].[Hire_Date (Year)].[All]" dimensionUniqueName="[EmpData]" displayFolder="" count="0" memberValueDatatype="130" unbalanced="0"/>
    <cacheHierarchy uniqueName="[EmpData].[Hire_Date (Quarter)]" caption="Hire_Date (Quarter)" attribute="1" defaultMemberUniqueName="[EmpData].[Hire_Date (Quarter)].[All]" allUniqueName="[EmpData].[Hire_Date (Quarter)].[All]" dimensionUniqueName="[EmpData]" displayFolder="" count="0" memberValueDatatype="130" unbalanced="0"/>
    <cacheHierarchy uniqueName="[EmpData].[Hire_Date (Month)]" caption="Hire_Date (Month)" attribute="1" defaultMemberUniqueName="[EmpData].[Hire_Date (Month)].[All]" allUniqueName="[EmpData].[Hire_Date (Month)].[All]" dimensionUniqueName="[EmpData]" displayFolder="" count="0" memberValueDatatype="130" unbalanced="0"/>
    <cacheHierarchy uniqueName="[Table2].[Department]" caption="Department" attribute="1" defaultMemberUniqueName="[Table2].[Department].[All]" allUniqueName="[Table2].[Department].[All]" dimensionUniqueName="[Table2]" displayFolder="" count="0" memberValueDatatype="130" unbalanced="0"/>
    <cacheHierarchy uniqueName="[Table2].[Exited]" caption="Exited" attribute="1" defaultMemberUniqueName="[Table2].[Exited].[All]" allUniqueName="[Table2].[Exited].[All]" dimensionUniqueName="[Table2]" displayFolder="" count="0" memberValueDatatype="20" unbalanced="0"/>
    <cacheHierarchy uniqueName="[Table2].[Total Department Headcount]" caption="Total Department Headcount" attribute="1" defaultMemberUniqueName="[Table2].[Total Department Headcount].[All]" allUniqueName="[Table2].[Total Department Headcount].[All]" dimensionUniqueName="[Table2]" displayFolder="" count="0" memberValueDatatype="20" unbalanced="0"/>
    <cacheHierarchy uniqueName="[Table2].[Attrition Rate]" caption="Attrition Rate" attribute="1" defaultMemberUniqueName="[Table2].[Attrition Rate].[All]" allUniqueName="[Table2].[Attrition Rate].[All]" dimensionUniqueName="[Table2]" displayFolder="" count="0" memberValueDatatype="5" unbalanced="0"/>
    <cacheHierarchy uniqueName="[EmpData].[Hire_Date (Month Index)]" caption="Hire_Date (Month Index)" attribute="1" defaultMemberUniqueName="[EmpData].[Hire_Date (Month Index)].[All]" allUniqueName="[EmpData].[Hire_Date (Month Index)].[All]" dimensionUniqueName="[EmpData]" displayFolder="" count="0" memberValueDatatype="20" unbalanced="0" hidden="1"/>
    <cacheHierarchy uniqueName="[Measures].[__XL_Count EmpData]" caption="__XL_Count EmpData" measure="1" displayFolder="" measureGroup="Emp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loyee_ID]" caption="Count of Employee_ID" measure="1" displayFolder="" measureGroup="EmpData"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EmpData" count="0" hidden="1">
      <extLst>
        <ext xmlns:x15="http://schemas.microsoft.com/office/spreadsheetml/2010/11/main" uri="{B97F6D7D-B522-45F9-BDA1-12C45D357490}">
          <x15:cacheHierarchy aggregatedColumn="9"/>
        </ext>
      </extLst>
    </cacheHierarchy>
    <cacheHierarchy uniqueName="[Measures].[Sum of Performance_Score]" caption="Sum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Performance_Score]" caption="Count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Average of Performance_Score]" caption="Average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Age_Group]" caption="Count of Age_Group" measure="1" displayFolder="" measureGroup="Emp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Emp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Attrition Rate]" caption="Sum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Attrition Rate]" caption="Count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EmpData"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EmpData"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Emp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EmpData" count="0" hidden="1">
      <extLst>
        <ext xmlns:x15="http://schemas.microsoft.com/office/spreadsheetml/2010/11/main" uri="{B97F6D7D-B522-45F9-BDA1-12C45D357490}">
          <x15:cacheHierarchy aggregatedColumn="3"/>
        </ext>
      </extLst>
    </cacheHierarchy>
  </cacheHierarchies>
  <kpis count="0"/>
  <dimensions count="3">
    <dimension name="EmpData" uniqueName="[EmpData]" caption="EmpData"/>
    <dimension measure="1" name="Measures" uniqueName="[Measures]" caption="Measures"/>
    <dimension name="Table2" uniqueName="[Table2]" caption="Table2"/>
  </dimensions>
  <measureGroups count="2">
    <measureGroup name="EmpData" caption="Emp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Kamau" refreshedDate="46006.423113310186" backgroundQuery="1" createdVersion="8" refreshedVersion="8" minRefreshableVersion="3" recordCount="0" supportSubquery="1" supportAdvancedDrill="1" xr:uid="{6A4D7D1E-77C0-48D5-9723-71835DD3FE56}">
  <cacheSource type="external" connectionId="1"/>
  <cacheFields count="4">
    <cacheField name="[Measures].[Count of Employee_ID]" caption="Count of Employee_ID" numFmtId="0" hierarchy="28" level="32767"/>
    <cacheField name="[EmpData].[Department].[Department]" caption="Department" numFmtId="0" hierarchy="5" level="1">
      <sharedItems count="7">
        <s v="Customer Service"/>
        <s v="Finance"/>
        <s v="HR"/>
        <s v="IT"/>
        <s v="Marketing"/>
        <s v="Operations"/>
        <s v="Sales"/>
      </sharedItems>
    </cacheField>
    <cacheField name="[EmpData].[Gender].[Gender]" caption="Gender" numFmtId="0" hierarchy="3" level="1">
      <sharedItems count="2">
        <s v="Female"/>
        <s v="Male"/>
      </sharedItems>
    </cacheField>
    <cacheField name="[EmpData].[Tenure_Category].[Tenure_Category]" caption="Tenure_Category" numFmtId="0" hierarchy="15" level="1">
      <sharedItems containsSemiMixedTypes="0" containsNonDate="0" containsString="0"/>
    </cacheField>
  </cacheFields>
  <cacheHierarchies count="41">
    <cacheHierarchy uniqueName="[EmpData].[Employee_ID]" caption="Employee_ID" attribute="1" defaultMemberUniqueName="[EmpData].[Employee_ID].[All]" allUniqueName="[EmpData].[Employee_ID].[All]" dimensionUniqueName="[EmpData]" displayFolder="" count="0" memberValueDatatype="130" unbalanced="0"/>
    <cacheHierarchy uniqueName="[EmpData].[First_Name]" caption="First_Name" attribute="1" defaultMemberUniqueName="[EmpData].[First_Name].[All]" allUniqueName="[EmpData].[First_Name].[All]" dimensionUniqueName="[EmpData]" displayFolder="" count="0" memberValueDatatype="130" unbalanced="0"/>
    <cacheHierarchy uniqueName="[EmpData].[Last_Name]" caption="Last_Name" attribute="1" defaultMemberUniqueName="[EmpData].[Last_Name].[All]" allUniqueName="[EmpData].[Last_Name].[All]" dimensionUniqueName="[EmpData]" displayFolder="" count="0" memberValueDatatype="130" unbalanced="0"/>
    <cacheHierarchy uniqueName="[EmpData].[Gender]" caption="Gender" attribute="1" defaultMemberUniqueName="[EmpData].[Gender].[All]" allUniqueName="[EmpData].[Gender].[All]" dimensionUniqueName="[EmpData]" displayFolder="" count="2" memberValueDatatype="130" unbalanced="0">
      <fieldsUsage count="2">
        <fieldUsage x="-1"/>
        <fieldUsage x="2"/>
      </fieldsUsage>
    </cacheHierarchy>
    <cacheHierarchy uniqueName="[EmpData].[Age]" caption="Age" attribute="1" defaultMemberUniqueName="[EmpData].[Age].[All]" allUniqueName="[EmpData].[Age].[All]" dimensionUniqueName="[EmpData]" displayFolder="" count="0" memberValueDatatype="20" unbalanced="0"/>
    <cacheHierarchy uniqueName="[EmpData].[Department]" caption="Department" attribute="1" defaultMemberUniqueName="[EmpData].[Department].[All]" allUniqueName="[EmpData].[Department].[All]" dimensionUniqueName="[EmpData]" displayFolder="" count="2" memberValueDatatype="130" unbalanced="0">
      <fieldsUsage count="2">
        <fieldUsage x="-1"/>
        <fieldUsage x="1"/>
      </fieldsUsage>
    </cacheHierarchy>
    <cacheHierarchy uniqueName="[EmpData].[Job_Title]" caption="Job_Title" attribute="1" defaultMemberUniqueName="[EmpData].[Job_Title].[All]" allUniqueName="[EmpData].[Job_Title].[All]" dimensionUniqueName="[EmpData]" displayFolder="" count="0" memberValueDatatype="130" unbalanced="0"/>
    <cacheHierarchy uniqueName="[EmpData].[Hire_Date]" caption="Hire_Date" attribute="1" time="1" defaultMemberUniqueName="[EmpData].[Hire_Date].[All]" allUniqueName="[EmpData].[Hire_Date].[All]" dimensionUniqueName="[EmpData]" displayFolder="" count="0" memberValueDatatype="7" unbalanced="0"/>
    <cacheHierarchy uniqueName="[EmpData].[Exit_Date]" caption="Exit_Date" attribute="1" time="1" defaultMemberUniqueName="[EmpData].[Exit_Date].[All]" allUniqueName="[EmpData].[Exit_Date].[All]" dimensionUniqueName="[EmpData]" displayFolder="" count="0" memberValueDatatype="7" unbalanced="0"/>
    <cacheHierarchy uniqueName="[EmpData].[Salary]" caption="Salary" attribute="1" defaultMemberUniqueName="[EmpData].[Salary].[All]" allUniqueName="[EmpData].[Salary].[All]" dimensionUniqueName="[EmpData]" displayFolder="" count="0" memberValueDatatype="20" unbalanced="0"/>
    <cacheHierarchy uniqueName="[EmpData].[Location]" caption="Location" attribute="1" defaultMemberUniqueName="[EmpData].[Location].[All]" allUniqueName="[EmpData].[Location].[All]" dimensionUniqueName="[EmpData]" displayFolder="" count="0" memberValueDatatype="130" unbalanced="0"/>
    <cacheHierarchy uniqueName="[EmpData].[Employment_Type]" caption="Employment_Type" attribute="1" defaultMemberUniqueName="[EmpData].[Employment_Type].[All]" allUniqueName="[EmpData].[Employment_Type].[All]" dimensionUniqueName="[EmpData]" displayFolder="" count="2" memberValueDatatype="130" unbalanced="0"/>
    <cacheHierarchy uniqueName="[EmpData].[Performance_Score]" caption="Performance_Score" attribute="1" defaultMemberUniqueName="[EmpData].[Performance_Score].[All]" allUniqueName="[EmpData].[Performance_Score].[All]" dimensionUniqueName="[EmpData]" displayFolder="" count="0" memberValueDatatype="20" unbalanced="0"/>
    <cacheHierarchy uniqueName="[EmpData].[Tenure(Years)]" caption="Tenure(Years)" attribute="1" defaultMemberUniqueName="[EmpData].[Tenure(Years)].[All]" allUniqueName="[EmpData].[Tenure(Years)].[All]" dimensionUniqueName="[EmpData]" displayFolder="" count="0" memberValueDatatype="20" unbalanced="0"/>
    <cacheHierarchy uniqueName="[EmpData].[Status]" caption="Status" attribute="1" defaultMemberUniqueName="[EmpData].[Status].[All]" allUniqueName="[EmpData].[Status].[All]" dimensionUniqueName="[EmpData]" displayFolder="" count="2" memberValueDatatype="130" unbalanced="0"/>
    <cacheHierarchy uniqueName="[EmpData].[Tenure_Category]" caption="Tenure_Category" attribute="1" defaultMemberUniqueName="[EmpData].[Tenure_Category].[All]" allUniqueName="[EmpData].[Tenure_Category].[All]" dimensionUniqueName="[EmpData]" displayFolder="" count="2" memberValueDatatype="130" unbalanced="0">
      <fieldsUsage count="2">
        <fieldUsage x="-1"/>
        <fieldUsage x="3"/>
      </fieldsUsage>
    </cacheHierarchy>
    <cacheHierarchy uniqueName="[EmpData].[Age_Group]" caption="Age_Group" attribute="1" defaultMemberUniqueName="[EmpData].[Age_Group].[All]" allUniqueName="[EmpData].[Age_Group].[All]" dimensionUniqueName="[EmpData]" displayFolder="" count="2" memberValueDatatype="130" unbalanced="0"/>
    <cacheHierarchy uniqueName="[EmpData].[Hire_Date (Year)]" caption="Hire_Date (Year)" attribute="1" defaultMemberUniqueName="[EmpData].[Hire_Date (Year)].[All]" allUniqueName="[EmpData].[Hire_Date (Year)].[All]" dimensionUniqueName="[EmpData]" displayFolder="" count="0" memberValueDatatype="130" unbalanced="0"/>
    <cacheHierarchy uniqueName="[EmpData].[Hire_Date (Quarter)]" caption="Hire_Date (Quarter)" attribute="1" defaultMemberUniqueName="[EmpData].[Hire_Date (Quarter)].[All]" allUniqueName="[EmpData].[Hire_Date (Quarter)].[All]" dimensionUniqueName="[EmpData]" displayFolder="" count="0" memberValueDatatype="130" unbalanced="0"/>
    <cacheHierarchy uniqueName="[EmpData].[Hire_Date (Month)]" caption="Hire_Date (Month)" attribute="1" defaultMemberUniqueName="[EmpData].[Hire_Date (Month)].[All]" allUniqueName="[EmpData].[Hire_Date (Month)].[All]" dimensionUniqueName="[EmpData]" displayFolder="" count="0" memberValueDatatype="130" unbalanced="0"/>
    <cacheHierarchy uniqueName="[Table2].[Department]" caption="Department" attribute="1" defaultMemberUniqueName="[Table2].[Department].[All]" allUniqueName="[Table2].[Department].[All]" dimensionUniqueName="[Table2]" displayFolder="" count="0" memberValueDatatype="130" unbalanced="0"/>
    <cacheHierarchy uniqueName="[Table2].[Exited]" caption="Exited" attribute="1" defaultMemberUniqueName="[Table2].[Exited].[All]" allUniqueName="[Table2].[Exited].[All]" dimensionUniqueName="[Table2]" displayFolder="" count="0" memberValueDatatype="20" unbalanced="0"/>
    <cacheHierarchy uniqueName="[Table2].[Total Department Headcount]" caption="Total Department Headcount" attribute="1" defaultMemberUniqueName="[Table2].[Total Department Headcount].[All]" allUniqueName="[Table2].[Total Department Headcount].[All]" dimensionUniqueName="[Table2]" displayFolder="" count="0" memberValueDatatype="20" unbalanced="0"/>
    <cacheHierarchy uniqueName="[Table2].[Attrition Rate]" caption="Attrition Rate" attribute="1" defaultMemberUniqueName="[Table2].[Attrition Rate].[All]" allUniqueName="[Table2].[Attrition Rate].[All]" dimensionUniqueName="[Table2]" displayFolder="" count="0" memberValueDatatype="5" unbalanced="0"/>
    <cacheHierarchy uniqueName="[EmpData].[Hire_Date (Month Index)]" caption="Hire_Date (Month Index)" attribute="1" defaultMemberUniqueName="[EmpData].[Hire_Date (Month Index)].[All]" allUniqueName="[EmpData].[Hire_Date (Month Index)].[All]" dimensionUniqueName="[EmpData]" displayFolder="" count="0" memberValueDatatype="20" unbalanced="0" hidden="1"/>
    <cacheHierarchy uniqueName="[Measures].[__XL_Count EmpData]" caption="__XL_Count EmpData" measure="1" displayFolder="" measureGroup="Emp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loyee_ID]" caption="Count of Employee_ID" measure="1" displayFolder="" measureGroup="Em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EmpData" count="0" hidden="1">
      <extLst>
        <ext xmlns:x15="http://schemas.microsoft.com/office/spreadsheetml/2010/11/main" uri="{B97F6D7D-B522-45F9-BDA1-12C45D357490}">
          <x15:cacheHierarchy aggregatedColumn="9"/>
        </ext>
      </extLst>
    </cacheHierarchy>
    <cacheHierarchy uniqueName="[Measures].[Sum of Performance_Score]" caption="Sum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Performance_Score]" caption="Count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Average of Performance_Score]" caption="Average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Age_Group]" caption="Count of Age_Group" measure="1" displayFolder="" measureGroup="Emp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EmpData" count="0" hidden="1">
      <extLst>
        <ext xmlns:x15="http://schemas.microsoft.com/office/spreadsheetml/2010/11/main" uri="{B97F6D7D-B522-45F9-BDA1-12C45D357490}">
          <x15:cacheHierarchy aggregatedColumn="9"/>
        </ext>
      </extLst>
    </cacheHierarchy>
    <cacheHierarchy uniqueName="[Measures].[Sum of Attrition Rate]" caption="Sum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Attrition Rate]" caption="Count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EmpData"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EmpData"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Emp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EmpData" count="0" hidden="1">
      <extLst>
        <ext xmlns:x15="http://schemas.microsoft.com/office/spreadsheetml/2010/11/main" uri="{B97F6D7D-B522-45F9-BDA1-12C45D357490}">
          <x15:cacheHierarchy aggregatedColumn="3"/>
        </ext>
      </extLst>
    </cacheHierarchy>
  </cacheHierarchies>
  <kpis count="0"/>
  <dimensions count="3">
    <dimension name="EmpData" uniqueName="[EmpData]" caption="EmpData"/>
    <dimension measure="1" name="Measures" uniqueName="[Measures]" caption="Measures"/>
    <dimension name="Table2" uniqueName="[Table2]" caption="Table2"/>
  </dimensions>
  <measureGroups count="2">
    <measureGroup name="EmpData" caption="Emp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Kamau" refreshedDate="46006.423114004632" backgroundQuery="1" createdVersion="8" refreshedVersion="8" minRefreshableVersion="3" recordCount="0" supportSubquery="1" supportAdvancedDrill="1" xr:uid="{B37E891F-7D93-44D1-9B0A-3C3C4DC02C2D}">
  <cacheSource type="external" connectionId="1"/>
  <cacheFields count="5">
    <cacheField name="[EmpData].[Employment_Type].[Employment_Type]" caption="Employment_Type" numFmtId="0" hierarchy="11" level="1">
      <sharedItems count="3">
        <s v="Contract"/>
        <s v="Full-time"/>
        <s v="Part-time"/>
      </sharedItems>
    </cacheField>
    <cacheField name="[Measures].[Count of Employee_ID]" caption="Count of Employee_ID" numFmtId="0" hierarchy="28" level="32767"/>
    <cacheField name="[EmpData].[Status].[Status]" caption="Status" numFmtId="0" hierarchy="14" level="1">
      <sharedItems containsSemiMixedTypes="0" containsNonDate="0" containsString="0"/>
    </cacheField>
    <cacheField name="[EmpData].[Tenure_Category].[Tenure_Category]" caption="Tenure_Category" numFmtId="0" hierarchy="15" level="1">
      <sharedItems containsSemiMixedTypes="0" containsNonDate="0" containsString="0"/>
    </cacheField>
    <cacheField name="[EmpData].[Department].[Department]" caption="Department" numFmtId="0" hierarchy="5" level="1">
      <sharedItems containsSemiMixedTypes="0" containsNonDate="0" containsString="0"/>
    </cacheField>
  </cacheFields>
  <cacheHierarchies count="41">
    <cacheHierarchy uniqueName="[EmpData].[Employee_ID]" caption="Employee_ID" attribute="1" defaultMemberUniqueName="[EmpData].[Employee_ID].[All]" allUniqueName="[EmpData].[Employee_ID].[All]" dimensionUniqueName="[EmpData]" displayFolder="" count="0" memberValueDatatype="130" unbalanced="0"/>
    <cacheHierarchy uniqueName="[EmpData].[First_Name]" caption="First_Name" attribute="1" defaultMemberUniqueName="[EmpData].[First_Name].[All]" allUniqueName="[EmpData].[First_Name].[All]" dimensionUniqueName="[EmpData]" displayFolder="" count="0" memberValueDatatype="130" unbalanced="0"/>
    <cacheHierarchy uniqueName="[EmpData].[Last_Name]" caption="Last_Name" attribute="1" defaultMemberUniqueName="[EmpData].[Last_Name].[All]" allUniqueName="[EmpData].[Last_Name].[All]" dimensionUniqueName="[EmpData]" displayFolder="" count="0" memberValueDatatype="130" unbalanced="0"/>
    <cacheHierarchy uniqueName="[EmpData].[Gender]" caption="Gender" attribute="1" defaultMemberUniqueName="[EmpData].[Gender].[All]" allUniqueName="[EmpData].[Gender].[All]" dimensionUniqueName="[EmpData]" displayFolder="" count="2" memberValueDatatype="130" unbalanced="0"/>
    <cacheHierarchy uniqueName="[EmpData].[Age]" caption="Age" attribute="1" defaultMemberUniqueName="[EmpData].[Age].[All]" allUniqueName="[EmpData].[Age].[All]" dimensionUniqueName="[EmpData]" displayFolder="" count="0" memberValueDatatype="20" unbalanced="0"/>
    <cacheHierarchy uniqueName="[EmpData].[Department]" caption="Department" attribute="1" defaultMemberUniqueName="[EmpData].[Department].[All]" allUniqueName="[EmpData].[Department].[All]" dimensionUniqueName="[EmpData]" displayFolder="" count="2" memberValueDatatype="130" unbalanced="0">
      <fieldsUsage count="2">
        <fieldUsage x="-1"/>
        <fieldUsage x="4"/>
      </fieldsUsage>
    </cacheHierarchy>
    <cacheHierarchy uniqueName="[EmpData].[Job_Title]" caption="Job_Title" attribute="1" defaultMemberUniqueName="[EmpData].[Job_Title].[All]" allUniqueName="[EmpData].[Job_Title].[All]" dimensionUniqueName="[EmpData]" displayFolder="" count="0" memberValueDatatype="130" unbalanced="0"/>
    <cacheHierarchy uniqueName="[EmpData].[Hire_Date]" caption="Hire_Date" attribute="1" time="1" defaultMemberUniqueName="[EmpData].[Hire_Date].[All]" allUniqueName="[EmpData].[Hire_Date].[All]" dimensionUniqueName="[EmpData]" displayFolder="" count="0" memberValueDatatype="7" unbalanced="0"/>
    <cacheHierarchy uniqueName="[EmpData].[Exit_Date]" caption="Exit_Date" attribute="1" time="1" defaultMemberUniqueName="[EmpData].[Exit_Date].[All]" allUniqueName="[EmpData].[Exit_Date].[All]" dimensionUniqueName="[EmpData]" displayFolder="" count="0" memberValueDatatype="7" unbalanced="0"/>
    <cacheHierarchy uniqueName="[EmpData].[Salary]" caption="Salary" attribute="1" defaultMemberUniqueName="[EmpData].[Salary].[All]" allUniqueName="[EmpData].[Salary].[All]" dimensionUniqueName="[EmpData]" displayFolder="" count="0" memberValueDatatype="20" unbalanced="0"/>
    <cacheHierarchy uniqueName="[EmpData].[Location]" caption="Location" attribute="1" defaultMemberUniqueName="[EmpData].[Location].[All]" allUniqueName="[EmpData].[Location].[All]" dimensionUniqueName="[EmpData]" displayFolder="" count="0" memberValueDatatype="130" unbalanced="0"/>
    <cacheHierarchy uniqueName="[EmpData].[Employment_Type]" caption="Employment_Type" attribute="1" defaultMemberUniqueName="[EmpData].[Employment_Type].[All]" allUniqueName="[EmpData].[Employment_Type].[All]" dimensionUniqueName="[EmpData]" displayFolder="" count="2" memberValueDatatype="130" unbalanced="0">
      <fieldsUsage count="2">
        <fieldUsage x="-1"/>
        <fieldUsage x="0"/>
      </fieldsUsage>
    </cacheHierarchy>
    <cacheHierarchy uniqueName="[EmpData].[Performance_Score]" caption="Performance_Score" attribute="1" defaultMemberUniqueName="[EmpData].[Performance_Score].[All]" allUniqueName="[EmpData].[Performance_Score].[All]" dimensionUniqueName="[EmpData]" displayFolder="" count="0" memberValueDatatype="20" unbalanced="0"/>
    <cacheHierarchy uniqueName="[EmpData].[Tenure(Years)]" caption="Tenure(Years)" attribute="1" defaultMemberUniqueName="[EmpData].[Tenure(Years)].[All]" allUniqueName="[EmpData].[Tenure(Years)].[All]" dimensionUniqueName="[EmpData]" displayFolder="" count="0" memberValueDatatype="20" unbalanced="0"/>
    <cacheHierarchy uniqueName="[EmpData].[Status]" caption="Status" attribute="1" defaultMemberUniqueName="[EmpData].[Status].[All]" allUniqueName="[EmpData].[Status].[All]" dimensionUniqueName="[EmpData]" displayFolder="" count="2" memberValueDatatype="130" unbalanced="0">
      <fieldsUsage count="2">
        <fieldUsage x="-1"/>
        <fieldUsage x="2"/>
      </fieldsUsage>
    </cacheHierarchy>
    <cacheHierarchy uniqueName="[EmpData].[Tenure_Category]" caption="Tenure_Category" attribute="1" defaultMemberUniqueName="[EmpData].[Tenure_Category].[All]" allUniqueName="[EmpData].[Tenure_Category].[All]" dimensionUniqueName="[EmpData]" displayFolder="" count="2" memberValueDatatype="130" unbalanced="0">
      <fieldsUsage count="2">
        <fieldUsage x="-1"/>
        <fieldUsage x="3"/>
      </fieldsUsage>
    </cacheHierarchy>
    <cacheHierarchy uniqueName="[EmpData].[Age_Group]" caption="Age_Group" attribute="1" defaultMemberUniqueName="[EmpData].[Age_Group].[All]" allUniqueName="[EmpData].[Age_Group].[All]" dimensionUniqueName="[EmpData]" displayFolder="" count="2" memberValueDatatype="130" unbalanced="0"/>
    <cacheHierarchy uniqueName="[EmpData].[Hire_Date (Year)]" caption="Hire_Date (Year)" attribute="1" defaultMemberUniqueName="[EmpData].[Hire_Date (Year)].[All]" allUniqueName="[EmpData].[Hire_Date (Year)].[All]" dimensionUniqueName="[EmpData]" displayFolder="" count="0" memberValueDatatype="130" unbalanced="0"/>
    <cacheHierarchy uniqueName="[EmpData].[Hire_Date (Quarter)]" caption="Hire_Date (Quarter)" attribute="1" defaultMemberUniqueName="[EmpData].[Hire_Date (Quarter)].[All]" allUniqueName="[EmpData].[Hire_Date (Quarter)].[All]" dimensionUniqueName="[EmpData]" displayFolder="" count="0" memberValueDatatype="130" unbalanced="0"/>
    <cacheHierarchy uniqueName="[EmpData].[Hire_Date (Month)]" caption="Hire_Date (Month)" attribute="1" defaultMemberUniqueName="[EmpData].[Hire_Date (Month)].[All]" allUniqueName="[EmpData].[Hire_Date (Month)].[All]" dimensionUniqueName="[EmpData]" displayFolder="" count="0" memberValueDatatype="130" unbalanced="0"/>
    <cacheHierarchy uniqueName="[Table2].[Department]" caption="Department" attribute="1" defaultMemberUniqueName="[Table2].[Department].[All]" allUniqueName="[Table2].[Department].[All]" dimensionUniqueName="[Table2]" displayFolder="" count="0" memberValueDatatype="130" unbalanced="0"/>
    <cacheHierarchy uniqueName="[Table2].[Exited]" caption="Exited" attribute="1" defaultMemberUniqueName="[Table2].[Exited].[All]" allUniqueName="[Table2].[Exited].[All]" dimensionUniqueName="[Table2]" displayFolder="" count="0" memberValueDatatype="20" unbalanced="0"/>
    <cacheHierarchy uniqueName="[Table2].[Total Department Headcount]" caption="Total Department Headcount" attribute="1" defaultMemberUniqueName="[Table2].[Total Department Headcount].[All]" allUniqueName="[Table2].[Total Department Headcount].[All]" dimensionUniqueName="[Table2]" displayFolder="" count="0" memberValueDatatype="20" unbalanced="0"/>
    <cacheHierarchy uniqueName="[Table2].[Attrition Rate]" caption="Attrition Rate" attribute="1" defaultMemberUniqueName="[Table2].[Attrition Rate].[All]" allUniqueName="[Table2].[Attrition Rate].[All]" dimensionUniqueName="[Table2]" displayFolder="" count="0" memberValueDatatype="5" unbalanced="0"/>
    <cacheHierarchy uniqueName="[EmpData].[Hire_Date (Month Index)]" caption="Hire_Date (Month Index)" attribute="1" defaultMemberUniqueName="[EmpData].[Hire_Date (Month Index)].[All]" allUniqueName="[EmpData].[Hire_Date (Month Index)].[All]" dimensionUniqueName="[EmpData]" displayFolder="" count="0" memberValueDatatype="20" unbalanced="0" hidden="1"/>
    <cacheHierarchy uniqueName="[Measures].[__XL_Count EmpData]" caption="__XL_Count EmpData" measure="1" displayFolder="" measureGroup="Emp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loyee_ID]" caption="Count of Employee_ID" measure="1" displayFolder="" measureGroup="Emp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EmpData" count="0" hidden="1">
      <extLst>
        <ext xmlns:x15="http://schemas.microsoft.com/office/spreadsheetml/2010/11/main" uri="{B97F6D7D-B522-45F9-BDA1-12C45D357490}">
          <x15:cacheHierarchy aggregatedColumn="9"/>
        </ext>
      </extLst>
    </cacheHierarchy>
    <cacheHierarchy uniqueName="[Measures].[Sum of Performance_Score]" caption="Sum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Performance_Score]" caption="Count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Average of Performance_Score]" caption="Average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Age_Group]" caption="Count of Age_Group" measure="1" displayFolder="" measureGroup="Emp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EmpData" count="0" hidden="1">
      <extLst>
        <ext xmlns:x15="http://schemas.microsoft.com/office/spreadsheetml/2010/11/main" uri="{B97F6D7D-B522-45F9-BDA1-12C45D357490}">
          <x15:cacheHierarchy aggregatedColumn="9"/>
        </ext>
      </extLst>
    </cacheHierarchy>
    <cacheHierarchy uniqueName="[Measures].[Sum of Attrition Rate]" caption="Sum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Attrition Rate]" caption="Count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EmpData"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EmpData"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Emp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EmpData" count="0" hidden="1">
      <extLst>
        <ext xmlns:x15="http://schemas.microsoft.com/office/spreadsheetml/2010/11/main" uri="{B97F6D7D-B522-45F9-BDA1-12C45D357490}">
          <x15:cacheHierarchy aggregatedColumn="3"/>
        </ext>
      </extLst>
    </cacheHierarchy>
  </cacheHierarchies>
  <kpis count="0"/>
  <dimensions count="3">
    <dimension name="EmpData" uniqueName="[EmpData]" caption="EmpData"/>
    <dimension measure="1" name="Measures" uniqueName="[Measures]" caption="Measures"/>
    <dimension name="Table2" uniqueName="[Table2]" caption="Table2"/>
  </dimensions>
  <measureGroups count="2">
    <measureGroup name="EmpData" caption="Emp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Kamau" refreshedDate="46006.423114699071" backgroundQuery="1" createdVersion="8" refreshedVersion="8" minRefreshableVersion="3" recordCount="0" supportSubquery="1" supportAdvancedDrill="1" xr:uid="{B70C40CF-537A-4E1C-B349-9916C461CB33}">
  <cacheSource type="external" connectionId="1"/>
  <cacheFields count="3">
    <cacheField name="[Measures].[Count of Gender]" caption="Count of Gender" numFmtId="0" hierarchy="40" level="32767"/>
    <cacheField name="[EmpData].[Gender].[Gender]" caption="Gender" numFmtId="0" hierarchy="3" level="1">
      <sharedItems count="2">
        <s v="Female"/>
        <s v="Male"/>
      </sharedItems>
    </cacheField>
    <cacheField name="[EmpData].[Department].[Department]" caption="Department" numFmtId="0" hierarchy="5" level="1">
      <sharedItems containsSemiMixedTypes="0" containsNonDate="0" containsString="0"/>
    </cacheField>
  </cacheFields>
  <cacheHierarchies count="41">
    <cacheHierarchy uniqueName="[EmpData].[Employee_ID]" caption="Employee_ID" attribute="1" defaultMemberUniqueName="[EmpData].[Employee_ID].[All]" allUniqueName="[EmpData].[Employee_ID].[All]" dimensionUniqueName="[EmpData]" displayFolder="" count="0" memberValueDatatype="130" unbalanced="0"/>
    <cacheHierarchy uniqueName="[EmpData].[First_Name]" caption="First_Name" attribute="1" defaultMemberUniqueName="[EmpData].[First_Name].[All]" allUniqueName="[EmpData].[First_Name].[All]" dimensionUniqueName="[EmpData]" displayFolder="" count="0" memberValueDatatype="130" unbalanced="0"/>
    <cacheHierarchy uniqueName="[EmpData].[Last_Name]" caption="Last_Name" attribute="1" defaultMemberUniqueName="[EmpData].[Last_Name].[All]" allUniqueName="[EmpData].[Last_Name].[All]" dimensionUniqueName="[EmpData]" displayFolder="" count="0" memberValueDatatype="130" unbalanced="0"/>
    <cacheHierarchy uniqueName="[EmpData].[Gender]" caption="Gender" attribute="1" defaultMemberUniqueName="[EmpData].[Gender].[All]" allUniqueName="[EmpData].[Gender].[All]" dimensionUniqueName="[EmpData]" displayFolder="" count="2" memberValueDatatype="130" unbalanced="0">
      <fieldsUsage count="2">
        <fieldUsage x="-1"/>
        <fieldUsage x="1"/>
      </fieldsUsage>
    </cacheHierarchy>
    <cacheHierarchy uniqueName="[EmpData].[Age]" caption="Age" attribute="1" defaultMemberUniqueName="[EmpData].[Age].[All]" allUniqueName="[EmpData].[Age].[All]" dimensionUniqueName="[EmpData]" displayFolder="" count="0" memberValueDatatype="20" unbalanced="0"/>
    <cacheHierarchy uniqueName="[EmpData].[Department]" caption="Department" attribute="1" defaultMemberUniqueName="[EmpData].[Department].[All]" allUniqueName="[EmpData].[Department].[All]" dimensionUniqueName="[EmpData]" displayFolder="" count="2" memberValueDatatype="130" unbalanced="0">
      <fieldsUsage count="2">
        <fieldUsage x="-1"/>
        <fieldUsage x="2"/>
      </fieldsUsage>
    </cacheHierarchy>
    <cacheHierarchy uniqueName="[EmpData].[Job_Title]" caption="Job_Title" attribute="1" defaultMemberUniqueName="[EmpData].[Job_Title].[All]" allUniqueName="[EmpData].[Job_Title].[All]" dimensionUniqueName="[EmpData]" displayFolder="" count="0" memberValueDatatype="130" unbalanced="0"/>
    <cacheHierarchy uniqueName="[EmpData].[Hire_Date]" caption="Hire_Date" attribute="1" time="1" defaultMemberUniqueName="[EmpData].[Hire_Date].[All]" allUniqueName="[EmpData].[Hire_Date].[All]" dimensionUniqueName="[EmpData]" displayFolder="" count="0" memberValueDatatype="7" unbalanced="0"/>
    <cacheHierarchy uniqueName="[EmpData].[Exit_Date]" caption="Exit_Date" attribute="1" time="1" defaultMemberUniqueName="[EmpData].[Exit_Date].[All]" allUniqueName="[EmpData].[Exit_Date].[All]" dimensionUniqueName="[EmpData]" displayFolder="" count="0" memberValueDatatype="7" unbalanced="0"/>
    <cacheHierarchy uniqueName="[EmpData].[Salary]" caption="Salary" attribute="1" defaultMemberUniqueName="[EmpData].[Salary].[All]" allUniqueName="[EmpData].[Salary].[All]" dimensionUniqueName="[EmpData]" displayFolder="" count="0" memberValueDatatype="20" unbalanced="0"/>
    <cacheHierarchy uniqueName="[EmpData].[Location]" caption="Location" attribute="1" defaultMemberUniqueName="[EmpData].[Location].[All]" allUniqueName="[EmpData].[Location].[All]" dimensionUniqueName="[EmpData]" displayFolder="" count="0" memberValueDatatype="130" unbalanced="0"/>
    <cacheHierarchy uniqueName="[EmpData].[Employment_Type]" caption="Employment_Type" attribute="1" defaultMemberUniqueName="[EmpData].[Employment_Type].[All]" allUniqueName="[EmpData].[Employment_Type].[All]" dimensionUniqueName="[EmpData]" displayFolder="" count="2" memberValueDatatype="130" unbalanced="0"/>
    <cacheHierarchy uniqueName="[EmpData].[Performance_Score]" caption="Performance_Score" attribute="1" defaultMemberUniqueName="[EmpData].[Performance_Score].[All]" allUniqueName="[EmpData].[Performance_Score].[All]" dimensionUniqueName="[EmpData]" displayFolder="" count="0" memberValueDatatype="20" unbalanced="0"/>
    <cacheHierarchy uniqueName="[EmpData].[Tenure(Years)]" caption="Tenure(Years)" attribute="1" defaultMemberUniqueName="[EmpData].[Tenure(Years)].[All]" allUniqueName="[EmpData].[Tenure(Years)].[All]" dimensionUniqueName="[EmpData]" displayFolder="" count="0" memberValueDatatype="20" unbalanced="0"/>
    <cacheHierarchy uniqueName="[EmpData].[Status]" caption="Status" attribute="1" defaultMemberUniqueName="[EmpData].[Status].[All]" allUniqueName="[EmpData].[Status].[All]" dimensionUniqueName="[EmpData]" displayFolder="" count="2" memberValueDatatype="130" unbalanced="0"/>
    <cacheHierarchy uniqueName="[EmpData].[Tenure_Category]" caption="Tenure_Category" attribute="1" defaultMemberUniqueName="[EmpData].[Tenure_Category].[All]" allUniqueName="[EmpData].[Tenure_Category].[All]" dimensionUniqueName="[EmpData]" displayFolder="" count="0" memberValueDatatype="130" unbalanced="0"/>
    <cacheHierarchy uniqueName="[EmpData].[Age_Group]" caption="Age_Group" attribute="1" defaultMemberUniqueName="[EmpData].[Age_Group].[All]" allUniqueName="[EmpData].[Age_Group].[All]" dimensionUniqueName="[EmpData]" displayFolder="" count="2" memberValueDatatype="130" unbalanced="0"/>
    <cacheHierarchy uniqueName="[EmpData].[Hire_Date (Year)]" caption="Hire_Date (Year)" attribute="1" defaultMemberUniqueName="[EmpData].[Hire_Date (Year)].[All]" allUniqueName="[EmpData].[Hire_Date (Year)].[All]" dimensionUniqueName="[EmpData]" displayFolder="" count="0" memberValueDatatype="130" unbalanced="0"/>
    <cacheHierarchy uniqueName="[EmpData].[Hire_Date (Quarter)]" caption="Hire_Date (Quarter)" attribute="1" defaultMemberUniqueName="[EmpData].[Hire_Date (Quarter)].[All]" allUniqueName="[EmpData].[Hire_Date (Quarter)].[All]" dimensionUniqueName="[EmpData]" displayFolder="" count="0" memberValueDatatype="130" unbalanced="0"/>
    <cacheHierarchy uniqueName="[EmpData].[Hire_Date (Month)]" caption="Hire_Date (Month)" attribute="1" defaultMemberUniqueName="[EmpData].[Hire_Date (Month)].[All]" allUniqueName="[EmpData].[Hire_Date (Month)].[All]" dimensionUniqueName="[EmpData]" displayFolder="" count="0" memberValueDatatype="130" unbalanced="0"/>
    <cacheHierarchy uniqueName="[Table2].[Department]" caption="Department" attribute="1" defaultMemberUniqueName="[Table2].[Department].[All]" allUniqueName="[Table2].[Department].[All]" dimensionUniqueName="[Table2]" displayFolder="" count="0" memberValueDatatype="130" unbalanced="0"/>
    <cacheHierarchy uniqueName="[Table2].[Exited]" caption="Exited" attribute="1" defaultMemberUniqueName="[Table2].[Exited].[All]" allUniqueName="[Table2].[Exited].[All]" dimensionUniqueName="[Table2]" displayFolder="" count="0" memberValueDatatype="20" unbalanced="0"/>
    <cacheHierarchy uniqueName="[Table2].[Total Department Headcount]" caption="Total Department Headcount" attribute="1" defaultMemberUniqueName="[Table2].[Total Department Headcount].[All]" allUniqueName="[Table2].[Total Department Headcount].[All]" dimensionUniqueName="[Table2]" displayFolder="" count="0" memberValueDatatype="20" unbalanced="0"/>
    <cacheHierarchy uniqueName="[Table2].[Attrition Rate]" caption="Attrition Rate" attribute="1" defaultMemberUniqueName="[Table2].[Attrition Rate].[All]" allUniqueName="[Table2].[Attrition Rate].[All]" dimensionUniqueName="[Table2]" displayFolder="" count="0" memberValueDatatype="5" unbalanced="0"/>
    <cacheHierarchy uniqueName="[EmpData].[Hire_Date (Month Index)]" caption="Hire_Date (Month Index)" attribute="1" defaultMemberUniqueName="[EmpData].[Hire_Date (Month Index)].[All]" allUniqueName="[EmpData].[Hire_Date (Month Index)].[All]" dimensionUniqueName="[EmpData]" displayFolder="" count="0" memberValueDatatype="20" unbalanced="0" hidden="1"/>
    <cacheHierarchy uniqueName="[Measures].[__XL_Count EmpData]" caption="__XL_Count EmpData" measure="1" displayFolder="" measureGroup="Emp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loyee_ID]" caption="Count of Employee_ID" measure="1" displayFolder="" measureGroup="EmpData"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EmpData" count="0" hidden="1">
      <extLst>
        <ext xmlns:x15="http://schemas.microsoft.com/office/spreadsheetml/2010/11/main" uri="{B97F6D7D-B522-45F9-BDA1-12C45D357490}">
          <x15:cacheHierarchy aggregatedColumn="9"/>
        </ext>
      </extLst>
    </cacheHierarchy>
    <cacheHierarchy uniqueName="[Measures].[Sum of Performance_Score]" caption="Sum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Performance_Score]" caption="Count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Average of Performance_Score]" caption="Average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Age_Group]" caption="Count of Age_Group" measure="1" displayFolder="" measureGroup="Emp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EmpData" count="0" hidden="1">
      <extLst>
        <ext xmlns:x15="http://schemas.microsoft.com/office/spreadsheetml/2010/11/main" uri="{B97F6D7D-B522-45F9-BDA1-12C45D357490}">
          <x15:cacheHierarchy aggregatedColumn="9"/>
        </ext>
      </extLst>
    </cacheHierarchy>
    <cacheHierarchy uniqueName="[Measures].[Sum of Attrition Rate]" caption="Sum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Attrition Rate]" caption="Count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EmpData"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EmpData"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Emp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EmpData"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3">
    <dimension name="EmpData" uniqueName="[EmpData]" caption="EmpData"/>
    <dimension measure="1" name="Measures" uniqueName="[Measures]" caption="Measures"/>
    <dimension name="Table2" uniqueName="[Table2]" caption="Table2"/>
  </dimensions>
  <measureGroups count="2">
    <measureGroup name="EmpData" caption="Emp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Kamau" refreshedDate="46006.423115509257" backgroundQuery="1" createdVersion="8" refreshedVersion="8" minRefreshableVersion="3" recordCount="0" supportSubquery="1" supportAdvancedDrill="1" xr:uid="{65CD9EB8-1551-446B-9559-C4D3B1108264}">
  <cacheSource type="external" connectionId="1"/>
  <cacheFields count="3">
    <cacheField name="[Measures].[Sum of Salary]" caption="Sum of Salary" numFmtId="0" hierarchy="29" level="32767"/>
    <cacheField name="[EmpData].[Department].[Department]" caption="Department" numFmtId="0" hierarchy="5" level="1">
      <sharedItems count="7">
        <s v="Customer Service"/>
        <s v="Finance"/>
        <s v="HR"/>
        <s v="IT"/>
        <s v="Marketing"/>
        <s v="Operations"/>
        <s v="Sales"/>
      </sharedItems>
    </cacheField>
    <cacheField name="[EmpData].[Tenure_Category].[Tenure_Category]" caption="Tenure_Category" numFmtId="0" hierarchy="15" level="1">
      <sharedItems containsSemiMixedTypes="0" containsNonDate="0" containsString="0"/>
    </cacheField>
  </cacheFields>
  <cacheHierarchies count="41">
    <cacheHierarchy uniqueName="[EmpData].[Employee_ID]" caption="Employee_ID" attribute="1" defaultMemberUniqueName="[EmpData].[Employee_ID].[All]" allUniqueName="[EmpData].[Employee_ID].[All]" dimensionUniqueName="[EmpData]" displayFolder="" count="0" memberValueDatatype="130" unbalanced="0"/>
    <cacheHierarchy uniqueName="[EmpData].[First_Name]" caption="First_Name" attribute="1" defaultMemberUniqueName="[EmpData].[First_Name].[All]" allUniqueName="[EmpData].[First_Name].[All]" dimensionUniqueName="[EmpData]" displayFolder="" count="0" memberValueDatatype="130" unbalanced="0"/>
    <cacheHierarchy uniqueName="[EmpData].[Last_Name]" caption="Last_Name" attribute="1" defaultMemberUniqueName="[EmpData].[Last_Name].[All]" allUniqueName="[EmpData].[Last_Name].[All]" dimensionUniqueName="[EmpData]" displayFolder="" count="0" memberValueDatatype="130" unbalanced="0"/>
    <cacheHierarchy uniqueName="[EmpData].[Gender]" caption="Gender" attribute="1" defaultMemberUniqueName="[EmpData].[Gender].[All]" allUniqueName="[EmpData].[Gender].[All]" dimensionUniqueName="[EmpData]" displayFolder="" count="2" memberValueDatatype="130" unbalanced="0"/>
    <cacheHierarchy uniqueName="[EmpData].[Age]" caption="Age" attribute="1" defaultMemberUniqueName="[EmpData].[Age].[All]" allUniqueName="[EmpData].[Age].[All]" dimensionUniqueName="[EmpData]" displayFolder="" count="0" memberValueDatatype="20" unbalanced="0"/>
    <cacheHierarchy uniqueName="[EmpData].[Department]" caption="Department" attribute="1" defaultMemberUniqueName="[EmpData].[Department].[All]" allUniqueName="[EmpData].[Department].[All]" dimensionUniqueName="[EmpData]" displayFolder="" count="2" memberValueDatatype="130" unbalanced="0">
      <fieldsUsage count="2">
        <fieldUsage x="-1"/>
        <fieldUsage x="1"/>
      </fieldsUsage>
    </cacheHierarchy>
    <cacheHierarchy uniqueName="[EmpData].[Job_Title]" caption="Job_Title" attribute="1" defaultMemberUniqueName="[EmpData].[Job_Title].[All]" allUniqueName="[EmpData].[Job_Title].[All]" dimensionUniqueName="[EmpData]" displayFolder="" count="0" memberValueDatatype="130" unbalanced="0"/>
    <cacheHierarchy uniqueName="[EmpData].[Hire_Date]" caption="Hire_Date" attribute="1" time="1" defaultMemberUniqueName="[EmpData].[Hire_Date].[All]" allUniqueName="[EmpData].[Hire_Date].[All]" dimensionUniqueName="[EmpData]" displayFolder="" count="0" memberValueDatatype="7" unbalanced="0"/>
    <cacheHierarchy uniqueName="[EmpData].[Exit_Date]" caption="Exit_Date" attribute="1" time="1" defaultMemberUniqueName="[EmpData].[Exit_Date].[All]" allUniqueName="[EmpData].[Exit_Date].[All]" dimensionUniqueName="[EmpData]" displayFolder="" count="0" memberValueDatatype="7" unbalanced="0"/>
    <cacheHierarchy uniqueName="[EmpData].[Salary]" caption="Salary" attribute="1" defaultMemberUniqueName="[EmpData].[Salary].[All]" allUniqueName="[EmpData].[Salary].[All]" dimensionUniqueName="[EmpData]" displayFolder="" count="0" memberValueDatatype="20" unbalanced="0"/>
    <cacheHierarchy uniqueName="[EmpData].[Location]" caption="Location" attribute="1" defaultMemberUniqueName="[EmpData].[Location].[All]" allUniqueName="[EmpData].[Location].[All]" dimensionUniqueName="[EmpData]" displayFolder="" count="0" memberValueDatatype="130" unbalanced="0"/>
    <cacheHierarchy uniqueName="[EmpData].[Employment_Type]" caption="Employment_Type" attribute="1" defaultMemberUniqueName="[EmpData].[Employment_Type].[All]" allUniqueName="[EmpData].[Employment_Type].[All]" dimensionUniqueName="[EmpData]" displayFolder="" count="2" memberValueDatatype="130" unbalanced="0"/>
    <cacheHierarchy uniqueName="[EmpData].[Performance_Score]" caption="Performance_Score" attribute="1" defaultMemberUniqueName="[EmpData].[Performance_Score].[All]" allUniqueName="[EmpData].[Performance_Score].[All]" dimensionUniqueName="[EmpData]" displayFolder="" count="0" memberValueDatatype="20" unbalanced="0"/>
    <cacheHierarchy uniqueName="[EmpData].[Tenure(Years)]" caption="Tenure(Years)" attribute="1" defaultMemberUniqueName="[EmpData].[Tenure(Years)].[All]" allUniqueName="[EmpData].[Tenure(Years)].[All]" dimensionUniqueName="[EmpData]" displayFolder="" count="0" memberValueDatatype="20" unbalanced="0"/>
    <cacheHierarchy uniqueName="[EmpData].[Status]" caption="Status" attribute="1" defaultMemberUniqueName="[EmpData].[Status].[All]" allUniqueName="[EmpData].[Status].[All]" dimensionUniqueName="[EmpData]" displayFolder="" count="2" memberValueDatatype="130" unbalanced="0"/>
    <cacheHierarchy uniqueName="[EmpData].[Tenure_Category]" caption="Tenure_Category" attribute="1" defaultMemberUniqueName="[EmpData].[Tenure_Category].[All]" allUniqueName="[EmpData].[Tenure_Category].[All]" dimensionUniqueName="[EmpData]" displayFolder="" count="2" memberValueDatatype="130" unbalanced="0">
      <fieldsUsage count="2">
        <fieldUsage x="-1"/>
        <fieldUsage x="2"/>
      </fieldsUsage>
    </cacheHierarchy>
    <cacheHierarchy uniqueName="[EmpData].[Age_Group]" caption="Age_Group" attribute="1" defaultMemberUniqueName="[EmpData].[Age_Group].[All]" allUniqueName="[EmpData].[Age_Group].[All]" dimensionUniqueName="[EmpData]" displayFolder="" count="2" memberValueDatatype="130" unbalanced="0"/>
    <cacheHierarchy uniqueName="[EmpData].[Hire_Date (Year)]" caption="Hire_Date (Year)" attribute="1" defaultMemberUniqueName="[EmpData].[Hire_Date (Year)].[All]" allUniqueName="[EmpData].[Hire_Date (Year)].[All]" dimensionUniqueName="[EmpData]" displayFolder="" count="0" memberValueDatatype="130" unbalanced="0"/>
    <cacheHierarchy uniqueName="[EmpData].[Hire_Date (Quarter)]" caption="Hire_Date (Quarter)" attribute="1" defaultMemberUniqueName="[EmpData].[Hire_Date (Quarter)].[All]" allUniqueName="[EmpData].[Hire_Date (Quarter)].[All]" dimensionUniqueName="[EmpData]" displayFolder="" count="0" memberValueDatatype="130" unbalanced="0"/>
    <cacheHierarchy uniqueName="[EmpData].[Hire_Date (Month)]" caption="Hire_Date (Month)" attribute="1" defaultMemberUniqueName="[EmpData].[Hire_Date (Month)].[All]" allUniqueName="[EmpData].[Hire_Date (Month)].[All]" dimensionUniqueName="[EmpData]" displayFolder="" count="0" memberValueDatatype="130" unbalanced="0"/>
    <cacheHierarchy uniqueName="[Table2].[Department]" caption="Department" attribute="1" defaultMemberUniqueName="[Table2].[Department].[All]" allUniqueName="[Table2].[Department].[All]" dimensionUniqueName="[Table2]" displayFolder="" count="0" memberValueDatatype="130" unbalanced="0"/>
    <cacheHierarchy uniqueName="[Table2].[Exited]" caption="Exited" attribute="1" defaultMemberUniqueName="[Table2].[Exited].[All]" allUniqueName="[Table2].[Exited].[All]" dimensionUniqueName="[Table2]" displayFolder="" count="0" memberValueDatatype="20" unbalanced="0"/>
    <cacheHierarchy uniqueName="[Table2].[Total Department Headcount]" caption="Total Department Headcount" attribute="1" defaultMemberUniqueName="[Table2].[Total Department Headcount].[All]" allUniqueName="[Table2].[Total Department Headcount].[All]" dimensionUniqueName="[Table2]" displayFolder="" count="0" memberValueDatatype="20" unbalanced="0"/>
    <cacheHierarchy uniqueName="[Table2].[Attrition Rate]" caption="Attrition Rate" attribute="1" defaultMemberUniqueName="[Table2].[Attrition Rate].[All]" allUniqueName="[Table2].[Attrition Rate].[All]" dimensionUniqueName="[Table2]" displayFolder="" count="0" memberValueDatatype="5" unbalanced="0"/>
    <cacheHierarchy uniqueName="[EmpData].[Hire_Date (Month Index)]" caption="Hire_Date (Month Index)" attribute="1" defaultMemberUniqueName="[EmpData].[Hire_Date (Month Index)].[All]" allUniqueName="[EmpData].[Hire_Date (Month Index)].[All]" dimensionUniqueName="[EmpData]" displayFolder="" count="0" memberValueDatatype="20" unbalanced="0" hidden="1"/>
    <cacheHierarchy uniqueName="[Measures].[__XL_Count EmpData]" caption="__XL_Count EmpData" measure="1" displayFolder="" measureGroup="Emp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loyee_ID]" caption="Count of Employee_ID" measure="1" displayFolder="" measureGroup="EmpData"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Emp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Performance_Score]" caption="Sum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Performance_Score]" caption="Count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Average of Performance_Score]" caption="Average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Age_Group]" caption="Count of Age_Group" measure="1" displayFolder="" measureGroup="Emp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EmpData" count="0" hidden="1">
      <extLst>
        <ext xmlns:x15="http://schemas.microsoft.com/office/spreadsheetml/2010/11/main" uri="{B97F6D7D-B522-45F9-BDA1-12C45D357490}">
          <x15:cacheHierarchy aggregatedColumn="9"/>
        </ext>
      </extLst>
    </cacheHierarchy>
    <cacheHierarchy uniqueName="[Measures].[Sum of Attrition Rate]" caption="Sum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Attrition Rate]" caption="Count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EmpData"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EmpData"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Emp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EmpData" count="0" hidden="1">
      <extLst>
        <ext xmlns:x15="http://schemas.microsoft.com/office/spreadsheetml/2010/11/main" uri="{B97F6D7D-B522-45F9-BDA1-12C45D357490}">
          <x15:cacheHierarchy aggregatedColumn="3"/>
        </ext>
      </extLst>
    </cacheHierarchy>
  </cacheHierarchies>
  <kpis count="0"/>
  <dimensions count="3">
    <dimension name="EmpData" uniqueName="[EmpData]" caption="EmpData"/>
    <dimension measure="1" name="Measures" uniqueName="[Measures]" caption="Measures"/>
    <dimension name="Table2" uniqueName="[Table2]" caption="Table2"/>
  </dimensions>
  <measureGroups count="2">
    <measureGroup name="EmpData" caption="Emp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Kamau" refreshedDate="46006.423116435188" backgroundQuery="1" createdVersion="8" refreshedVersion="8" minRefreshableVersion="3" recordCount="0" supportSubquery="1" supportAdvancedDrill="1" xr:uid="{08E4275F-AD9E-454E-9307-195981B53144}">
  <cacheSource type="external" connectionId="1"/>
  <cacheFields count="6">
    <cacheField name="[Measures].[Count of Employee_ID]" caption="Count of Employee_ID" numFmtId="0" hierarchy="28" level="32767"/>
    <cacheField name="[Measures].[Average of Salary]" caption="Average of Salary" numFmtId="0" hierarchy="34" level="32767"/>
    <cacheField name="[Measures].[Count of Status]" caption="Count of Status" numFmtId="0" hierarchy="37" level="32767"/>
    <cacheField name="[Measures].[Average of Age]" caption="Average of Age" numFmtId="0" hierarchy="39" level="32767"/>
    <cacheField name="[EmpData].[Tenure_Category].[Tenure_Category]" caption="Tenure_Category" numFmtId="0" hierarchy="15" level="1">
      <sharedItems containsSemiMixedTypes="0" containsNonDate="0" containsString="0"/>
    </cacheField>
    <cacheField name="[EmpData].[Department].[Department]" caption="Department" numFmtId="0" hierarchy="5" level="1">
      <sharedItems containsSemiMixedTypes="0" containsNonDate="0" containsString="0"/>
    </cacheField>
  </cacheFields>
  <cacheHierarchies count="41">
    <cacheHierarchy uniqueName="[EmpData].[Employee_ID]" caption="Employee_ID" attribute="1" defaultMemberUniqueName="[EmpData].[Employee_ID].[All]" allUniqueName="[EmpData].[Employee_ID].[All]" dimensionUniqueName="[EmpData]" displayFolder="" count="0" memberValueDatatype="130" unbalanced="0"/>
    <cacheHierarchy uniqueName="[EmpData].[First_Name]" caption="First_Name" attribute="1" defaultMemberUniqueName="[EmpData].[First_Name].[All]" allUniqueName="[EmpData].[First_Name].[All]" dimensionUniqueName="[EmpData]" displayFolder="" count="0" memberValueDatatype="130" unbalanced="0"/>
    <cacheHierarchy uniqueName="[EmpData].[Last_Name]" caption="Last_Name" attribute="1" defaultMemberUniqueName="[EmpData].[Last_Name].[All]" allUniqueName="[EmpData].[Last_Name].[All]" dimensionUniqueName="[EmpData]" displayFolder="" count="0" memberValueDatatype="130" unbalanced="0"/>
    <cacheHierarchy uniqueName="[EmpData].[Gender]" caption="Gender" attribute="1" defaultMemberUniqueName="[EmpData].[Gender].[All]" allUniqueName="[EmpData].[Gender].[All]" dimensionUniqueName="[EmpData]" displayFolder="" count="2" memberValueDatatype="130" unbalanced="0"/>
    <cacheHierarchy uniqueName="[EmpData].[Age]" caption="Age" attribute="1" defaultMemberUniqueName="[EmpData].[Age].[All]" allUniqueName="[EmpData].[Age].[All]" dimensionUniqueName="[EmpData]" displayFolder="" count="0" memberValueDatatype="20" unbalanced="0"/>
    <cacheHierarchy uniqueName="[EmpData].[Department]" caption="Department" attribute="1" defaultMemberUniqueName="[EmpData].[Department].[All]" allUniqueName="[EmpData].[Department].[All]" dimensionUniqueName="[EmpData]" displayFolder="" count="2" memberValueDatatype="130" unbalanced="0">
      <fieldsUsage count="2">
        <fieldUsage x="-1"/>
        <fieldUsage x="5"/>
      </fieldsUsage>
    </cacheHierarchy>
    <cacheHierarchy uniqueName="[EmpData].[Job_Title]" caption="Job_Title" attribute="1" defaultMemberUniqueName="[EmpData].[Job_Title].[All]" allUniqueName="[EmpData].[Job_Title].[All]" dimensionUniqueName="[EmpData]" displayFolder="" count="0" memberValueDatatype="130" unbalanced="0"/>
    <cacheHierarchy uniqueName="[EmpData].[Hire_Date]" caption="Hire_Date" attribute="1" time="1" defaultMemberUniqueName="[EmpData].[Hire_Date].[All]" allUniqueName="[EmpData].[Hire_Date].[All]" dimensionUniqueName="[EmpData]" displayFolder="" count="0" memberValueDatatype="7" unbalanced="0"/>
    <cacheHierarchy uniqueName="[EmpData].[Exit_Date]" caption="Exit_Date" attribute="1" time="1" defaultMemberUniqueName="[EmpData].[Exit_Date].[All]" allUniqueName="[EmpData].[Exit_Date].[All]" dimensionUniqueName="[EmpData]" displayFolder="" count="0" memberValueDatatype="7" unbalanced="0"/>
    <cacheHierarchy uniqueName="[EmpData].[Salary]" caption="Salary" attribute="1" defaultMemberUniqueName="[EmpData].[Salary].[All]" allUniqueName="[EmpData].[Salary].[All]" dimensionUniqueName="[EmpData]" displayFolder="" count="0" memberValueDatatype="20" unbalanced="0"/>
    <cacheHierarchy uniqueName="[EmpData].[Location]" caption="Location" attribute="1" defaultMemberUniqueName="[EmpData].[Location].[All]" allUniqueName="[EmpData].[Location].[All]" dimensionUniqueName="[EmpData]" displayFolder="" count="0" memberValueDatatype="130" unbalanced="0"/>
    <cacheHierarchy uniqueName="[EmpData].[Employment_Type]" caption="Employment_Type" attribute="1" defaultMemberUniqueName="[EmpData].[Employment_Type].[All]" allUniqueName="[EmpData].[Employment_Type].[All]" dimensionUniqueName="[EmpData]" displayFolder="" count="2" memberValueDatatype="130" unbalanced="0"/>
    <cacheHierarchy uniqueName="[EmpData].[Performance_Score]" caption="Performance_Score" attribute="1" defaultMemberUniqueName="[EmpData].[Performance_Score].[All]" allUniqueName="[EmpData].[Performance_Score].[All]" dimensionUniqueName="[EmpData]" displayFolder="" count="0" memberValueDatatype="20" unbalanced="0"/>
    <cacheHierarchy uniqueName="[EmpData].[Tenure(Years)]" caption="Tenure(Years)" attribute="1" defaultMemberUniqueName="[EmpData].[Tenure(Years)].[All]" allUniqueName="[EmpData].[Tenure(Years)].[All]" dimensionUniqueName="[EmpData]" displayFolder="" count="0" memberValueDatatype="20" unbalanced="0"/>
    <cacheHierarchy uniqueName="[EmpData].[Status]" caption="Status" attribute="1" defaultMemberUniqueName="[EmpData].[Status].[All]" allUniqueName="[EmpData].[Status].[All]" dimensionUniqueName="[EmpData]" displayFolder="" count="2" memberValueDatatype="130" unbalanced="0"/>
    <cacheHierarchy uniqueName="[EmpData].[Tenure_Category]" caption="Tenure_Category" attribute="1" defaultMemberUniqueName="[EmpData].[Tenure_Category].[All]" allUniqueName="[EmpData].[Tenure_Category].[All]" dimensionUniqueName="[EmpData]" displayFolder="" count="2" memberValueDatatype="130" unbalanced="0">
      <fieldsUsage count="2">
        <fieldUsage x="-1"/>
        <fieldUsage x="4"/>
      </fieldsUsage>
    </cacheHierarchy>
    <cacheHierarchy uniqueName="[EmpData].[Age_Group]" caption="Age_Group" attribute="1" defaultMemberUniqueName="[EmpData].[Age_Group].[All]" allUniqueName="[EmpData].[Age_Group].[All]" dimensionUniqueName="[EmpData]" displayFolder="" count="2" memberValueDatatype="130" unbalanced="0"/>
    <cacheHierarchy uniqueName="[EmpData].[Hire_Date (Year)]" caption="Hire_Date (Year)" attribute="1" defaultMemberUniqueName="[EmpData].[Hire_Date (Year)].[All]" allUniqueName="[EmpData].[Hire_Date (Year)].[All]" dimensionUniqueName="[EmpData]" displayFolder="" count="0" memberValueDatatype="130" unbalanced="0"/>
    <cacheHierarchy uniqueName="[EmpData].[Hire_Date (Quarter)]" caption="Hire_Date (Quarter)" attribute="1" defaultMemberUniqueName="[EmpData].[Hire_Date (Quarter)].[All]" allUniqueName="[EmpData].[Hire_Date (Quarter)].[All]" dimensionUniqueName="[EmpData]" displayFolder="" count="0" memberValueDatatype="130" unbalanced="0"/>
    <cacheHierarchy uniqueName="[EmpData].[Hire_Date (Month)]" caption="Hire_Date (Month)" attribute="1" defaultMemberUniqueName="[EmpData].[Hire_Date (Month)].[All]" allUniqueName="[EmpData].[Hire_Date (Month)].[All]" dimensionUniqueName="[EmpData]" displayFolder="" count="0" memberValueDatatype="130" unbalanced="0"/>
    <cacheHierarchy uniqueName="[Table2].[Department]" caption="Department" attribute="1" defaultMemberUniqueName="[Table2].[Department].[All]" allUniqueName="[Table2].[Department].[All]" dimensionUniqueName="[Table2]" displayFolder="" count="0" memberValueDatatype="130" unbalanced="0"/>
    <cacheHierarchy uniqueName="[Table2].[Exited]" caption="Exited" attribute="1" defaultMemberUniqueName="[Table2].[Exited].[All]" allUniqueName="[Table2].[Exited].[All]" dimensionUniqueName="[Table2]" displayFolder="" count="0" memberValueDatatype="20" unbalanced="0"/>
    <cacheHierarchy uniqueName="[Table2].[Total Department Headcount]" caption="Total Department Headcount" attribute="1" defaultMemberUniqueName="[Table2].[Total Department Headcount].[All]" allUniqueName="[Table2].[Total Department Headcount].[All]" dimensionUniqueName="[Table2]" displayFolder="" count="0" memberValueDatatype="20" unbalanced="0"/>
    <cacheHierarchy uniqueName="[Table2].[Attrition Rate]" caption="Attrition Rate" attribute="1" defaultMemberUniqueName="[Table2].[Attrition Rate].[All]" allUniqueName="[Table2].[Attrition Rate].[All]" dimensionUniqueName="[Table2]" displayFolder="" count="0" memberValueDatatype="5" unbalanced="0"/>
    <cacheHierarchy uniqueName="[EmpData].[Hire_Date (Month Index)]" caption="Hire_Date (Month Index)" attribute="1" defaultMemberUniqueName="[EmpData].[Hire_Date (Month Index)].[All]" allUniqueName="[EmpData].[Hire_Date (Month Index)].[All]" dimensionUniqueName="[EmpData]" displayFolder="" count="0" memberValueDatatype="20" unbalanced="0" hidden="1"/>
    <cacheHierarchy uniqueName="[Measures].[__XL_Count EmpData]" caption="__XL_Count EmpData" measure="1" displayFolder="" measureGroup="Emp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loyee_ID]" caption="Count of Employee_ID" measure="1" displayFolder="" measureGroup="Em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EmpData" count="0" hidden="1">
      <extLst>
        <ext xmlns:x15="http://schemas.microsoft.com/office/spreadsheetml/2010/11/main" uri="{B97F6D7D-B522-45F9-BDA1-12C45D357490}">
          <x15:cacheHierarchy aggregatedColumn="9"/>
        </ext>
      </extLst>
    </cacheHierarchy>
    <cacheHierarchy uniqueName="[Measures].[Sum of Performance_Score]" caption="Sum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Performance_Score]" caption="Count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Average of Performance_Score]" caption="Average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Age_Group]" caption="Count of Age_Group" measure="1" displayFolder="" measureGroup="Emp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Emp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Attrition Rate]" caption="Sum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Attrition Rate]" caption="Count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Emp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Age]" caption="Sum of Age" measure="1" displayFolder="" measureGroup="EmpData"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EmpData" count="0" oneField="1" hidden="1">
      <fieldsUsage count="1">
        <fieldUsage x="3"/>
      </fieldsUsage>
      <extLst>
        <ext xmlns:x15="http://schemas.microsoft.com/office/spreadsheetml/2010/11/main" uri="{B97F6D7D-B522-45F9-BDA1-12C45D357490}">
          <x15:cacheHierarchy aggregatedColumn="4"/>
        </ext>
      </extLst>
    </cacheHierarchy>
    <cacheHierarchy uniqueName="[Measures].[Count of Gender]" caption="Count of Gender" measure="1" displayFolder="" measureGroup="EmpData" count="0" hidden="1">
      <extLst>
        <ext xmlns:x15="http://schemas.microsoft.com/office/spreadsheetml/2010/11/main" uri="{B97F6D7D-B522-45F9-BDA1-12C45D357490}">
          <x15:cacheHierarchy aggregatedColumn="3"/>
        </ext>
      </extLst>
    </cacheHierarchy>
  </cacheHierarchies>
  <kpis count="0"/>
  <dimensions count="3">
    <dimension name="EmpData" uniqueName="[EmpData]" caption="EmpData"/>
    <dimension measure="1" name="Measures" uniqueName="[Measures]" caption="Measures"/>
    <dimension name="Table2" uniqueName="[Table2]" caption="Table2"/>
  </dimensions>
  <measureGroups count="2">
    <measureGroup name="EmpData" caption="Emp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Kamau" refreshedDate="46006.423117013888" backgroundQuery="1" createdVersion="8" refreshedVersion="8" minRefreshableVersion="3" recordCount="0" supportSubquery="1" supportAdvancedDrill="1" xr:uid="{507130A4-E4C8-4DB1-8C97-159961D9D50A}">
  <cacheSource type="external" connectionId="1"/>
  <cacheFields count="3">
    <cacheField name="[Measures].[Count of Employee_ID]" caption="Count of Employee_ID" numFmtId="0" hierarchy="28" level="32767"/>
    <cacheField name="[EmpData].[Status].[Status]" caption="Status" numFmtId="0" hierarchy="14" level="1">
      <sharedItems count="2">
        <s v="Active"/>
        <s v="Exited"/>
      </sharedItems>
    </cacheField>
    <cacheField name="[EmpData].[Department].[Department]" caption="Department" numFmtId="0" hierarchy="5" level="1">
      <sharedItems containsSemiMixedTypes="0" containsNonDate="0" containsString="0"/>
    </cacheField>
  </cacheFields>
  <cacheHierarchies count="41">
    <cacheHierarchy uniqueName="[EmpData].[Employee_ID]" caption="Employee_ID" attribute="1" defaultMemberUniqueName="[EmpData].[Employee_ID].[All]" allUniqueName="[EmpData].[Employee_ID].[All]" dimensionUniqueName="[EmpData]" displayFolder="" count="2" memberValueDatatype="130" unbalanced="0"/>
    <cacheHierarchy uniqueName="[EmpData].[First_Name]" caption="First_Name" attribute="1" defaultMemberUniqueName="[EmpData].[First_Name].[All]" allUniqueName="[EmpData].[First_Name].[All]" dimensionUniqueName="[EmpData]" displayFolder="" count="0" memberValueDatatype="130" unbalanced="0"/>
    <cacheHierarchy uniqueName="[EmpData].[Last_Name]" caption="Last_Name" attribute="1" defaultMemberUniqueName="[EmpData].[Last_Name].[All]" allUniqueName="[EmpData].[Last_Name].[All]" dimensionUniqueName="[EmpData]" displayFolder="" count="0" memberValueDatatype="130" unbalanced="0"/>
    <cacheHierarchy uniqueName="[EmpData].[Gender]" caption="Gender" attribute="1" defaultMemberUniqueName="[EmpData].[Gender].[All]" allUniqueName="[EmpData].[Gender].[All]" dimensionUniqueName="[EmpData]" displayFolder="" count="2" memberValueDatatype="130" unbalanced="0"/>
    <cacheHierarchy uniqueName="[EmpData].[Age]" caption="Age" attribute="1" defaultMemberUniqueName="[EmpData].[Age].[All]" allUniqueName="[EmpData].[Age].[All]" dimensionUniqueName="[EmpData]" displayFolder="" count="0" memberValueDatatype="20" unbalanced="0"/>
    <cacheHierarchy uniqueName="[EmpData].[Department]" caption="Department" attribute="1" defaultMemberUniqueName="[EmpData].[Department].[All]" allUniqueName="[EmpData].[Department].[All]" dimensionUniqueName="[EmpData]" displayFolder="" count="2" memberValueDatatype="130" unbalanced="0">
      <fieldsUsage count="2">
        <fieldUsage x="-1"/>
        <fieldUsage x="2"/>
      </fieldsUsage>
    </cacheHierarchy>
    <cacheHierarchy uniqueName="[EmpData].[Job_Title]" caption="Job_Title" attribute="1" defaultMemberUniqueName="[EmpData].[Job_Title].[All]" allUniqueName="[EmpData].[Job_Title].[All]" dimensionUniqueName="[EmpData]" displayFolder="" count="0" memberValueDatatype="130" unbalanced="0"/>
    <cacheHierarchy uniqueName="[EmpData].[Hire_Date]" caption="Hire_Date" attribute="1" time="1" defaultMemberUniqueName="[EmpData].[Hire_Date].[All]" allUniqueName="[EmpData].[Hire_Date].[All]" dimensionUniqueName="[EmpData]" displayFolder="" count="0" memberValueDatatype="7" unbalanced="0"/>
    <cacheHierarchy uniqueName="[EmpData].[Exit_Date]" caption="Exit_Date" attribute="1" time="1" defaultMemberUniqueName="[EmpData].[Exit_Date].[All]" allUniqueName="[EmpData].[Exit_Date].[All]" dimensionUniqueName="[EmpData]" displayFolder="" count="0" memberValueDatatype="7" unbalanced="0"/>
    <cacheHierarchy uniqueName="[EmpData].[Salary]" caption="Salary" attribute="1" defaultMemberUniqueName="[EmpData].[Salary].[All]" allUniqueName="[EmpData].[Salary].[All]" dimensionUniqueName="[EmpData]" displayFolder="" count="0" memberValueDatatype="20" unbalanced="0"/>
    <cacheHierarchy uniqueName="[EmpData].[Location]" caption="Location" attribute="1" defaultMemberUniqueName="[EmpData].[Location].[All]" allUniqueName="[EmpData].[Location].[All]" dimensionUniqueName="[EmpData]" displayFolder="" count="0" memberValueDatatype="130" unbalanced="0"/>
    <cacheHierarchy uniqueName="[EmpData].[Employment_Type]" caption="Employment_Type" attribute="1" defaultMemberUniqueName="[EmpData].[Employment_Type].[All]" allUniqueName="[EmpData].[Employment_Type].[All]" dimensionUniqueName="[EmpData]" displayFolder="" count="2" memberValueDatatype="130" unbalanced="0"/>
    <cacheHierarchy uniqueName="[EmpData].[Performance_Score]" caption="Performance_Score" attribute="1" defaultMemberUniqueName="[EmpData].[Performance_Score].[All]" allUniqueName="[EmpData].[Performance_Score].[All]" dimensionUniqueName="[EmpData]" displayFolder="" count="0" memberValueDatatype="20" unbalanced="0"/>
    <cacheHierarchy uniqueName="[EmpData].[Tenure(Years)]" caption="Tenure(Years)" attribute="1" defaultMemberUniqueName="[EmpData].[Tenure(Years)].[All]" allUniqueName="[EmpData].[Tenure(Years)].[All]" dimensionUniqueName="[EmpData]" displayFolder="" count="0" memberValueDatatype="20" unbalanced="0"/>
    <cacheHierarchy uniqueName="[EmpData].[Status]" caption="Status" attribute="1" defaultMemberUniqueName="[EmpData].[Status].[All]" allUniqueName="[EmpData].[Status].[All]" dimensionUniqueName="[EmpData]" displayFolder="" count="2" memberValueDatatype="130" unbalanced="0">
      <fieldsUsage count="2">
        <fieldUsage x="-1"/>
        <fieldUsage x="1"/>
      </fieldsUsage>
    </cacheHierarchy>
    <cacheHierarchy uniqueName="[EmpData].[Tenure_Category]" caption="Tenure_Category" attribute="1" defaultMemberUniqueName="[EmpData].[Tenure_Category].[All]" allUniqueName="[EmpData].[Tenure_Category].[All]" dimensionUniqueName="[EmpData]" displayFolder="" count="0" memberValueDatatype="130" unbalanced="0"/>
    <cacheHierarchy uniqueName="[EmpData].[Age_Group]" caption="Age_Group" attribute="1" defaultMemberUniqueName="[EmpData].[Age_Group].[All]" allUniqueName="[EmpData].[Age_Group].[All]" dimensionUniqueName="[EmpData]" displayFolder="" count="2" memberValueDatatype="130" unbalanced="0"/>
    <cacheHierarchy uniqueName="[EmpData].[Hire_Date (Year)]" caption="Hire_Date (Year)" attribute="1" defaultMemberUniqueName="[EmpData].[Hire_Date (Year)].[All]" allUniqueName="[EmpData].[Hire_Date (Year)].[All]" dimensionUniqueName="[EmpData]" displayFolder="" count="0" memberValueDatatype="130" unbalanced="0"/>
    <cacheHierarchy uniqueName="[EmpData].[Hire_Date (Quarter)]" caption="Hire_Date (Quarter)" attribute="1" defaultMemberUniqueName="[EmpData].[Hire_Date (Quarter)].[All]" allUniqueName="[EmpData].[Hire_Date (Quarter)].[All]" dimensionUniqueName="[EmpData]" displayFolder="" count="0" memberValueDatatype="130" unbalanced="0"/>
    <cacheHierarchy uniqueName="[EmpData].[Hire_Date (Month)]" caption="Hire_Date (Month)" attribute="1" defaultMemberUniqueName="[EmpData].[Hire_Date (Month)].[All]" allUniqueName="[EmpData].[Hire_Date (Month)].[All]" dimensionUniqueName="[EmpData]" displayFolder="" count="0" memberValueDatatype="130" unbalanced="0"/>
    <cacheHierarchy uniqueName="[Table2].[Department]" caption="Department" attribute="1" defaultMemberUniqueName="[Table2].[Department].[All]" allUniqueName="[Table2].[Department].[All]" dimensionUniqueName="[Table2]" displayFolder="" count="0" memberValueDatatype="130" unbalanced="0"/>
    <cacheHierarchy uniqueName="[Table2].[Exited]" caption="Exited" attribute="1" defaultMemberUniqueName="[Table2].[Exited].[All]" allUniqueName="[Table2].[Exited].[All]" dimensionUniqueName="[Table2]" displayFolder="" count="0" memberValueDatatype="20" unbalanced="0"/>
    <cacheHierarchy uniqueName="[Table2].[Total Department Headcount]" caption="Total Department Headcount" attribute="1" defaultMemberUniqueName="[Table2].[Total Department Headcount].[All]" allUniqueName="[Table2].[Total Department Headcount].[All]" dimensionUniqueName="[Table2]" displayFolder="" count="0" memberValueDatatype="20" unbalanced="0"/>
    <cacheHierarchy uniqueName="[Table2].[Attrition Rate]" caption="Attrition Rate" attribute="1" defaultMemberUniqueName="[Table2].[Attrition Rate].[All]" allUniqueName="[Table2].[Attrition Rate].[All]" dimensionUniqueName="[Table2]" displayFolder="" count="0" memberValueDatatype="5" unbalanced="0"/>
    <cacheHierarchy uniqueName="[EmpData].[Hire_Date (Month Index)]" caption="Hire_Date (Month Index)" attribute="1" defaultMemberUniqueName="[EmpData].[Hire_Date (Month Index)].[All]" allUniqueName="[EmpData].[Hire_Date (Month Index)].[All]" dimensionUniqueName="[EmpData]" displayFolder="" count="0" memberValueDatatype="20" unbalanced="0" hidden="1"/>
    <cacheHierarchy uniqueName="[Measures].[__XL_Count EmpData]" caption="__XL_Count EmpData" measure="1" displayFolder="" measureGroup="Emp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loyee_ID]" caption="Count of Employee_ID" measure="1" displayFolder="" measureGroup="Em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EmpData" count="0" hidden="1">
      <extLst>
        <ext xmlns:x15="http://schemas.microsoft.com/office/spreadsheetml/2010/11/main" uri="{B97F6D7D-B522-45F9-BDA1-12C45D357490}">
          <x15:cacheHierarchy aggregatedColumn="9"/>
        </ext>
      </extLst>
    </cacheHierarchy>
    <cacheHierarchy uniqueName="[Measures].[Sum of Performance_Score]" caption="Sum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Performance_Score]" caption="Count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Average of Performance_Score]" caption="Average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Age_Group]" caption="Count of Age_Group" measure="1" displayFolder="" measureGroup="Emp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EmpData" count="0" hidden="1">
      <extLst>
        <ext xmlns:x15="http://schemas.microsoft.com/office/spreadsheetml/2010/11/main" uri="{B97F6D7D-B522-45F9-BDA1-12C45D357490}">
          <x15:cacheHierarchy aggregatedColumn="9"/>
        </ext>
      </extLst>
    </cacheHierarchy>
    <cacheHierarchy uniqueName="[Measures].[Sum of Attrition Rate]" caption="Sum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Attrition Rate]" caption="Count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EmpData"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EmpData"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Emp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EmpData" count="0" hidden="1">
      <extLst>
        <ext xmlns:x15="http://schemas.microsoft.com/office/spreadsheetml/2010/11/main" uri="{B97F6D7D-B522-45F9-BDA1-12C45D357490}">
          <x15:cacheHierarchy aggregatedColumn="3"/>
        </ext>
      </extLst>
    </cacheHierarchy>
  </cacheHierarchies>
  <kpis count="0"/>
  <dimensions count="3">
    <dimension name="EmpData" uniqueName="[EmpData]" caption="EmpData"/>
    <dimension measure="1" name="Measures" uniqueName="[Measures]" caption="Measures"/>
    <dimension name="Table2" uniqueName="[Table2]" caption="Table2"/>
  </dimensions>
  <measureGroups count="2">
    <measureGroup name="EmpData" caption="Emp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Kamau" refreshedDate="46003.5381037037" backgroundQuery="1" createdVersion="3" refreshedVersion="8" minRefreshableVersion="3" recordCount="0" supportSubquery="1" supportAdvancedDrill="1" xr:uid="{376F7973-24B6-4BC7-B40D-D5EBEAAAA0A8}">
  <cacheSource type="external" connectionId="1">
    <extLst>
      <ext xmlns:x14="http://schemas.microsoft.com/office/spreadsheetml/2009/9/main" uri="{F057638F-6D5F-4e77-A914-E7F072B9BCA8}">
        <x14:sourceConnection name="ThisWorkbookDataModel"/>
      </ext>
    </extLst>
  </cacheSource>
  <cacheFields count="0"/>
  <cacheHierarchies count="42">
    <cacheHierarchy uniqueName="[EmpData].[Employee_ID]" caption="Employee_ID" attribute="1" defaultMemberUniqueName="[EmpData].[Employee_ID].[All]" allUniqueName="[EmpData].[Employee_ID].[All]" dimensionUniqueName="[EmpData]" displayFolder="" count="2" memberValueDatatype="130" unbalanced="0"/>
    <cacheHierarchy uniqueName="[EmpData].[First_Name]" caption="First_Name" attribute="1" defaultMemberUniqueName="[EmpData].[First_Name].[All]" allUniqueName="[EmpData].[First_Name].[All]" dimensionUniqueName="[EmpData]" displayFolder="" count="2" memberValueDatatype="130" unbalanced="0"/>
    <cacheHierarchy uniqueName="[EmpData].[Last_Name]" caption="Last_Name" attribute="1" defaultMemberUniqueName="[EmpData].[Last_Name].[All]" allUniqueName="[EmpData].[Last_Name].[All]" dimensionUniqueName="[EmpData]" displayFolder="" count="2" memberValueDatatype="130" unbalanced="0"/>
    <cacheHierarchy uniqueName="[EmpData].[Gender]" caption="Gender" attribute="1" defaultMemberUniqueName="[EmpData].[Gender].[All]" allUniqueName="[EmpData].[Gender].[All]" dimensionUniqueName="[EmpData]" displayFolder="" count="2" memberValueDatatype="130" unbalanced="0"/>
    <cacheHierarchy uniqueName="[EmpData].[Age]" caption="Age" attribute="1" defaultMemberUniqueName="[EmpData].[Age].[All]" allUniqueName="[EmpData].[Age].[All]" dimensionUniqueName="[EmpData]" displayFolder="" count="2" memberValueDatatype="20" unbalanced="0"/>
    <cacheHierarchy uniqueName="[EmpData].[Department]" caption="Department" attribute="1" defaultMemberUniqueName="[EmpData].[Department].[All]" allUniqueName="[EmpData].[Department].[All]" dimensionUniqueName="[EmpData]" displayFolder="" count="2" memberValueDatatype="130" unbalanced="0"/>
    <cacheHierarchy uniqueName="[EmpData].[Job_Title]" caption="Job_Title" attribute="1" defaultMemberUniqueName="[EmpData].[Job_Title].[All]" allUniqueName="[EmpData].[Job_Title].[All]" dimensionUniqueName="[EmpData]" displayFolder="" count="2" memberValueDatatype="130" unbalanced="0"/>
    <cacheHierarchy uniqueName="[EmpData].[Hire_Date]" caption="Hire_Date" attribute="1" time="1" defaultMemberUniqueName="[EmpData].[Hire_Date].[All]" allUniqueName="[EmpData].[Hire_Date].[All]" dimensionUniqueName="[EmpData]" displayFolder="" count="2" memberValueDatatype="7" unbalanced="0"/>
    <cacheHierarchy uniqueName="[EmpData].[Exit_Date]" caption="Exit_Date" attribute="1" time="1" defaultMemberUniqueName="[EmpData].[Exit_Date].[All]" allUniqueName="[EmpData].[Exit_Date].[All]" dimensionUniqueName="[EmpData]" displayFolder="" count="2" memberValueDatatype="7" unbalanced="0"/>
    <cacheHierarchy uniqueName="[EmpData].[Salary]" caption="Salary" attribute="1" defaultMemberUniqueName="[EmpData].[Salary].[All]" allUniqueName="[EmpData].[Salary].[All]" dimensionUniqueName="[EmpData]" displayFolder="" count="2" memberValueDatatype="20" unbalanced="0"/>
    <cacheHierarchy uniqueName="[EmpData].[Location]" caption="Location" attribute="1" defaultMemberUniqueName="[EmpData].[Location].[All]" allUniqueName="[EmpData].[Location].[All]" dimensionUniqueName="[EmpData]" displayFolder="" count="2" memberValueDatatype="130" unbalanced="0"/>
    <cacheHierarchy uniqueName="[EmpData].[Employment_Type]" caption="Employment_Type" attribute="1" defaultMemberUniqueName="[EmpData].[Employment_Type].[All]" allUniqueName="[EmpData].[Employment_Type].[All]" dimensionUniqueName="[EmpData]" displayFolder="" count="2" memberValueDatatype="130" unbalanced="0"/>
    <cacheHierarchy uniqueName="[EmpData].[Performance_Score]" caption="Performance_Score" attribute="1" defaultMemberUniqueName="[EmpData].[Performance_Score].[All]" allUniqueName="[EmpData].[Performance_Score].[All]" dimensionUniqueName="[EmpData]" displayFolder="" count="2" memberValueDatatype="20" unbalanced="0"/>
    <cacheHierarchy uniqueName="[EmpData].[Tenure(Years)]" caption="Tenure(Years)" attribute="1" defaultMemberUniqueName="[EmpData].[Tenure(Years)].[All]" allUniqueName="[EmpData].[Tenure(Years)].[All]" dimensionUniqueName="[EmpData]" displayFolder="" count="2" memberValueDatatype="20" unbalanced="0"/>
    <cacheHierarchy uniqueName="[EmpData].[Status]" caption="Status" attribute="1" defaultMemberUniqueName="[EmpData].[Status].[All]" allUniqueName="[EmpData].[Status].[All]" dimensionUniqueName="[EmpData]" displayFolder="" count="2" memberValueDatatype="130" unbalanced="0"/>
    <cacheHierarchy uniqueName="[EmpData].[Tenure_Category]" caption="Tenure_Category" attribute="1" defaultMemberUniqueName="[EmpData].[Tenure_Category].[All]" allUniqueName="[EmpData].[Tenure_Category].[All]" dimensionUniqueName="[EmpData]" displayFolder="" count="2" memberValueDatatype="130" unbalanced="0"/>
    <cacheHierarchy uniqueName="[EmpData].[Age_Group]" caption="Age_Group" attribute="1" defaultMemberUniqueName="[EmpData].[Age_Group].[All]" allUniqueName="[EmpData].[Age_Group].[All]" dimensionUniqueName="[EmpData]" displayFolder="" count="2" memberValueDatatype="130" unbalanced="0"/>
    <cacheHierarchy uniqueName="[EmpData].[Hire_Date (Year)]" caption="Hire_Date (Year)" attribute="1" defaultMemberUniqueName="[EmpData].[Hire_Date (Year)].[All]" allUniqueName="[EmpData].[Hire_Date (Year)].[All]" dimensionUniqueName="[EmpData]" displayFolder="" count="2" memberValueDatatype="130" unbalanced="0"/>
    <cacheHierarchy uniqueName="[EmpData].[Hire_Date (Quarter)]" caption="Hire_Date (Quarter)" attribute="1" defaultMemberUniqueName="[EmpData].[Hire_Date (Quarter)].[All]" allUniqueName="[EmpData].[Hire_Date (Quarter)].[All]" dimensionUniqueName="[EmpData]" displayFolder="" count="2" memberValueDatatype="130" unbalanced="0"/>
    <cacheHierarchy uniqueName="[EmpData].[Hire_Date (Month)]" caption="Hire_Date (Month)" attribute="1" defaultMemberUniqueName="[EmpData].[Hire_Date (Month)].[All]" allUniqueName="[EmpData].[Hire_Date (Month)].[All]" dimensionUniqueName="[EmpData]"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Table2].[Department]" caption="Department" attribute="1" defaultMemberUniqueName="[Table2].[Department].[All]" allUniqueName="[Table2].[Department].[All]" dimensionUniqueName="[Table2]" displayFolder="" count="2" memberValueDatatype="130" unbalanced="0"/>
    <cacheHierarchy uniqueName="[Table2].[Exited]" caption="Exited" attribute="1" defaultMemberUniqueName="[Table2].[Exited].[All]" allUniqueName="[Table2].[Exited].[All]" dimensionUniqueName="[Table2]" displayFolder="" count="2" memberValueDatatype="20" unbalanced="0"/>
    <cacheHierarchy uniqueName="[Table2].[Total Department Headcount]" caption="Total Department Headcount" attribute="1" defaultMemberUniqueName="[Table2].[Total Department Headcount].[All]" allUniqueName="[Table2].[Total Department Headcount].[All]" dimensionUniqueName="[Table2]" displayFolder="" count="2" memberValueDatatype="20" unbalanced="0"/>
    <cacheHierarchy uniqueName="[Table2].[Attrition Rate]" caption="Attrition Rate" attribute="1" defaultMemberUniqueName="[Table2].[Attrition Rate].[All]" allUniqueName="[Table2].[Attrition Rate].[All]" dimensionUniqueName="[Table2]" displayFolder="" count="2" memberValueDatatype="5" unbalanced="0"/>
    <cacheHierarchy uniqueName="[EmpData].[Hire_Date (Month Index)]" caption="Hire_Date (Month Index)" attribute="1" defaultMemberUniqueName="[EmpData].[Hire_Date (Month Index)].[All]" allUniqueName="[EmpData].[Hire_Date (Month Index)].[All]" dimensionUniqueName="[EmpData]" displayFolder="" count="2" memberValueDatatype="20" unbalanced="0" hidden="1"/>
    <cacheHierarchy uniqueName="[Measures].[__XL_Count EmpData]" caption="__XL_Count EmpData" measure="1" displayFolder="" measureGroup="Emp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loyee_ID]" caption="Count of Employee_ID" measure="1" displayFolder="" measureGroup="EmpData"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EmpData" count="0" hidden="1">
      <extLst>
        <ext xmlns:x15="http://schemas.microsoft.com/office/spreadsheetml/2010/11/main" uri="{B97F6D7D-B522-45F9-BDA1-12C45D357490}">
          <x15:cacheHierarchy aggregatedColumn="9"/>
        </ext>
      </extLst>
    </cacheHierarchy>
    <cacheHierarchy uniqueName="[Measures].[Sum of Performance_Score]" caption="Sum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Performance_Score]" caption="Count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Average of Performance_Score]" caption="Average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Age_Group]" caption="Count of Age_Group" measure="1" displayFolder="" measureGroup="Emp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EmpData" count="0" hidden="1">
      <extLst>
        <ext xmlns:x15="http://schemas.microsoft.com/office/spreadsheetml/2010/11/main" uri="{B97F6D7D-B522-45F9-BDA1-12C45D357490}">
          <x15:cacheHierarchy aggregatedColumn="9"/>
        </ext>
      </extLst>
    </cacheHierarchy>
    <cacheHierarchy uniqueName="[Measures].[Sum of Attrition Rate]" caption="Sum of Attrition Rate" measure="1" displayFolder="" measureGroup="Table2" count="0" hidden="1">
      <extLst>
        <ext xmlns:x15="http://schemas.microsoft.com/office/spreadsheetml/2010/11/main" uri="{B97F6D7D-B522-45F9-BDA1-12C45D357490}">
          <x15:cacheHierarchy aggregatedColumn="24"/>
        </ext>
      </extLst>
    </cacheHierarchy>
    <cacheHierarchy uniqueName="[Measures].[Count of Attrition Rate]" caption="Count of Attrition Rate" measure="1" displayFolder="" measureGroup="Table2" count="0" hidden="1">
      <extLst>
        <ext xmlns:x15="http://schemas.microsoft.com/office/spreadsheetml/2010/11/main" uri="{B97F6D7D-B522-45F9-BDA1-12C45D357490}">
          <x15:cacheHierarchy aggregatedColumn="24"/>
        </ext>
      </extLst>
    </cacheHierarchy>
    <cacheHierarchy uniqueName="[Measures].[Count of Status]" caption="Count of Status" measure="1" displayFolder="" measureGroup="EmpData"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EmpData"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Emp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EmpData" count="0" hidden="1">
      <extLst>
        <ext xmlns:x15="http://schemas.microsoft.com/office/spreadsheetml/2010/11/main" uri="{B97F6D7D-B522-45F9-BDA1-12C45D357490}">
          <x15:cacheHierarchy aggregatedColumn="3"/>
        </ext>
      </extLst>
    </cacheHierarchy>
  </cacheHierarchies>
  <kpis count="0"/>
  <dimensions count="3">
    <dimension name="EmpData" uniqueName="[EmpData]" caption="EmpData"/>
    <dimension measure="1" name="Measures" uniqueName="[Measures]" caption="Measures"/>
    <dimension name="Table2" uniqueName="[Table2]" caption="Table2"/>
  </dimensions>
  <measureGroups count="2">
    <measureGroup name="EmpData" caption="EmpData"/>
    <measureGroup name="Table2" caption="Table2"/>
  </measureGroups>
  <maps count="2">
    <map measureGroup="0" dimension="0"/>
    <map measureGroup="1" dimension="2"/>
  </maps>
  <extLst>
    <ext xmlns:x14="http://schemas.microsoft.com/office/spreadsheetml/2009/9/main" uri="{725AE2AE-9491-48be-B2B4-4EB974FC3084}">
      <x14:pivotCacheDefinition slicerData="1" pivotCacheId="25873856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E1000"/>
    <s v="Queen"/>
    <s v="Otieno"/>
    <x v="0"/>
    <x v="0"/>
    <s v="IT"/>
    <s v="Systems Analyst"/>
    <x v="0"/>
    <m/>
    <n v="184591"/>
    <s v="Kisumu"/>
    <s v="Part-time"/>
    <n v="2"/>
    <x v="0"/>
    <x v="0"/>
    <x v="0"/>
    <x v="0"/>
  </r>
  <r>
    <s v="E1001"/>
    <s v="James"/>
    <s v="Gichohi"/>
    <x v="0"/>
    <x v="1"/>
    <s v="Finance"/>
    <s v="Financial Analyst"/>
    <x v="1"/>
    <d v="2021-07-17T00:00:00"/>
    <n v="146626"/>
    <s v="Kisumu"/>
    <s v="Part-time"/>
    <n v="2"/>
    <x v="1"/>
    <x v="1"/>
    <x v="1"/>
    <x v="0"/>
  </r>
  <r>
    <s v="E1002"/>
    <s v="George"/>
    <s v="Njoroge"/>
    <x v="1"/>
    <x v="2"/>
    <s v="Operations"/>
    <s v="Operations Assistant"/>
    <x v="2"/>
    <d v="2018-01-24T00:00:00"/>
    <n v="53790"/>
    <s v="Nakuru"/>
    <s v="Full-time"/>
    <n v="1"/>
    <x v="2"/>
    <x v="1"/>
    <x v="2"/>
    <x v="1"/>
  </r>
  <r>
    <s v="E1003"/>
    <s v="Eunice"/>
    <s v="Oluoch"/>
    <x v="0"/>
    <x v="3"/>
    <s v="Customer Service"/>
    <s v="Service Assistant"/>
    <x v="3"/>
    <m/>
    <n v="163358"/>
    <s v="Mombasa"/>
    <s v="Part-time"/>
    <n v="3"/>
    <x v="0"/>
    <x v="0"/>
    <x v="0"/>
    <x v="0"/>
  </r>
  <r>
    <s v="E1004"/>
    <s v="Faith"/>
    <s v="Mutua"/>
    <x v="0"/>
    <x v="4"/>
    <s v="Finance"/>
    <s v="Financial Analyst"/>
    <x v="4"/>
    <d v="2024-11-11T00:00:00"/>
    <n v="103381"/>
    <s v="Nairobi"/>
    <s v="Part-time"/>
    <n v="3"/>
    <x v="3"/>
    <x v="1"/>
    <x v="2"/>
    <x v="2"/>
  </r>
  <r>
    <s v="E1005"/>
    <s v="Queen"/>
    <s v="Obiero"/>
    <x v="0"/>
    <x v="5"/>
    <s v="Sales"/>
    <s v="Business Developer"/>
    <x v="5"/>
    <d v="2024-09-18T00:00:00"/>
    <n v="98673"/>
    <s v="Mombasa"/>
    <s v="Contract"/>
    <n v="2"/>
    <x v="4"/>
    <x v="1"/>
    <x v="0"/>
    <x v="3"/>
  </r>
  <r>
    <s v="E1006"/>
    <s v="Susan"/>
    <s v="Oluoch"/>
    <x v="0"/>
    <x v="6"/>
    <s v="Customer Service"/>
    <s v="Service Assistant"/>
    <x v="6"/>
    <m/>
    <n v="92106"/>
    <s v="Nakuru"/>
    <s v="Part-time"/>
    <n v="4"/>
    <x v="5"/>
    <x v="0"/>
    <x v="2"/>
    <x v="2"/>
  </r>
  <r>
    <s v="E1007"/>
    <s v="Tom"/>
    <s v="Wanjiku"/>
    <x v="0"/>
    <x v="7"/>
    <s v="Operations"/>
    <s v="Logistics Officer"/>
    <x v="7"/>
    <m/>
    <n v="135088"/>
    <s v="Kisumu"/>
    <s v="Contract"/>
    <n v="5"/>
    <x v="3"/>
    <x v="0"/>
    <x v="2"/>
    <x v="0"/>
  </r>
  <r>
    <s v="E1008"/>
    <s v="Mary"/>
    <s v="Kosgei"/>
    <x v="0"/>
    <x v="8"/>
    <s v="Marketing"/>
    <s v="Marketing Officer"/>
    <x v="8"/>
    <m/>
    <n v="130948"/>
    <s v="Kisumu"/>
    <s v="Part-time"/>
    <n v="2"/>
    <x v="6"/>
    <x v="0"/>
    <x v="0"/>
    <x v="0"/>
  </r>
  <r>
    <s v="E1009"/>
    <s v="George"/>
    <s v="Wanjiku"/>
    <x v="0"/>
    <x v="9"/>
    <s v="IT"/>
    <s v="Systems Analyst"/>
    <x v="9"/>
    <m/>
    <n v="119740"/>
    <s v="Nakuru"/>
    <s v="Part-time"/>
    <n v="2"/>
    <x v="7"/>
    <x v="0"/>
    <x v="0"/>
    <x v="2"/>
  </r>
  <r>
    <s v="E1010"/>
    <s v="Irene"/>
    <s v="Oluoch"/>
    <x v="0"/>
    <x v="10"/>
    <s v="Marketing"/>
    <s v="Marketing Officer"/>
    <x v="10"/>
    <m/>
    <n v="43319"/>
    <s v="Mombasa"/>
    <s v="Contract"/>
    <n v="1"/>
    <x v="8"/>
    <x v="0"/>
    <x v="0"/>
    <x v="2"/>
  </r>
  <r>
    <s v="E1011"/>
    <s v="Naomi"/>
    <s v="Wanjiku"/>
    <x v="0"/>
    <x v="4"/>
    <s v="Customer Service"/>
    <s v="Customer Care Rep"/>
    <x v="11"/>
    <d v="2022-06-26T00:00:00"/>
    <n v="140319"/>
    <s v="Nairobi"/>
    <s v="Full-time"/>
    <n v="1"/>
    <x v="7"/>
    <x v="1"/>
    <x v="0"/>
    <x v="2"/>
  </r>
  <r>
    <s v="E1012"/>
    <s v="Irene"/>
    <s v="Cheruiyot"/>
    <x v="1"/>
    <x v="2"/>
    <s v="HR"/>
    <s v="Recruiter"/>
    <x v="12"/>
    <d v="2020-11-29T00:00:00"/>
    <n v="194659"/>
    <s v="Kisumu"/>
    <s v="Part-time"/>
    <n v="2"/>
    <x v="2"/>
    <x v="1"/>
    <x v="2"/>
    <x v="1"/>
  </r>
  <r>
    <s v="E1013"/>
    <s v="Robert"/>
    <s v="Cheruiyot"/>
    <x v="0"/>
    <x v="11"/>
    <s v="Marketing"/>
    <s v="Content Creator"/>
    <x v="13"/>
    <m/>
    <n v="43461"/>
    <s v="Kisumu"/>
    <s v="Part-time"/>
    <n v="1"/>
    <x v="9"/>
    <x v="0"/>
    <x v="1"/>
    <x v="0"/>
  </r>
  <r>
    <s v="E1014"/>
    <s v="James"/>
    <s v="Obiero"/>
    <x v="1"/>
    <x v="7"/>
    <s v="Finance"/>
    <s v="Auditor"/>
    <x v="14"/>
    <m/>
    <n v="137326"/>
    <s v="Nairobi"/>
    <s v="Full-time"/>
    <n v="1"/>
    <x v="4"/>
    <x v="0"/>
    <x v="0"/>
    <x v="0"/>
  </r>
  <r>
    <s v="E1015"/>
    <s v="Lynn"/>
    <s v="Njoroge"/>
    <x v="0"/>
    <x v="12"/>
    <s v="Marketing"/>
    <s v="Content Creator"/>
    <x v="15"/>
    <m/>
    <n v="161764"/>
    <s v="Nakuru"/>
    <s v="Part-time"/>
    <n v="5"/>
    <x v="10"/>
    <x v="0"/>
    <x v="3"/>
    <x v="3"/>
  </r>
  <r>
    <s v="E1016"/>
    <s v="Peter"/>
    <s v="Njoroge"/>
    <x v="0"/>
    <x v="8"/>
    <s v="IT"/>
    <s v="Software Developer"/>
    <x v="16"/>
    <m/>
    <n v="111114"/>
    <s v="Nakuru"/>
    <s v="Contract"/>
    <n v="5"/>
    <x v="9"/>
    <x v="0"/>
    <x v="1"/>
    <x v="0"/>
  </r>
  <r>
    <s v="E1017"/>
    <s v="George"/>
    <s v="Gichohi"/>
    <x v="0"/>
    <x v="11"/>
    <s v="IT"/>
    <s v="Systems Analyst"/>
    <x v="17"/>
    <d v="2022-11-12T00:00:00"/>
    <n v="80572"/>
    <s v="Nakuru"/>
    <s v="Contract"/>
    <n v="1"/>
    <x v="5"/>
    <x v="1"/>
    <x v="2"/>
    <x v="0"/>
  </r>
  <r>
    <s v="E1018"/>
    <s v="Brian"/>
    <s v="Njoroge"/>
    <x v="1"/>
    <x v="6"/>
    <s v="Operations"/>
    <s v="Logistics Officer"/>
    <x v="18"/>
    <m/>
    <n v="96450"/>
    <s v="Nairobi"/>
    <s v="Contract"/>
    <n v="3"/>
    <x v="5"/>
    <x v="0"/>
    <x v="2"/>
    <x v="2"/>
  </r>
  <r>
    <s v="E1019"/>
    <s v="Ann"/>
    <s v="Mutua"/>
    <x v="1"/>
    <x v="13"/>
    <s v="IT"/>
    <s v="Software Developer"/>
    <x v="19"/>
    <m/>
    <n v="193815"/>
    <s v="Nairobi"/>
    <s v="Part-time"/>
    <n v="3"/>
    <x v="8"/>
    <x v="0"/>
    <x v="0"/>
    <x v="0"/>
  </r>
  <r>
    <s v="E1020"/>
    <s v="Faith"/>
    <s v="Oluoch"/>
    <x v="1"/>
    <x v="14"/>
    <s v="Sales"/>
    <s v="Sales Analyst"/>
    <x v="20"/>
    <m/>
    <n v="52198"/>
    <s v="Nakuru"/>
    <s v="Part-time"/>
    <n v="2"/>
    <x v="7"/>
    <x v="0"/>
    <x v="0"/>
    <x v="3"/>
  </r>
  <r>
    <s v="E1021"/>
    <s v="Naomi"/>
    <s v="Obiero"/>
    <x v="1"/>
    <x v="15"/>
    <s v="Sales"/>
    <s v="Sales Executive"/>
    <x v="21"/>
    <d v="2024-10-23T00:00:00"/>
    <n v="145125"/>
    <s v="Nakuru"/>
    <s v="Part-time"/>
    <n v="1"/>
    <x v="1"/>
    <x v="1"/>
    <x v="1"/>
    <x v="2"/>
  </r>
  <r>
    <s v="E1022"/>
    <s v="Catherine"/>
    <s v="Achieng"/>
    <x v="0"/>
    <x v="16"/>
    <s v="Finance"/>
    <s v="Accountant"/>
    <x v="22"/>
    <m/>
    <n v="157288"/>
    <s v="Mombasa"/>
    <s v="Part-time"/>
    <n v="2"/>
    <x v="2"/>
    <x v="0"/>
    <x v="2"/>
    <x v="2"/>
  </r>
  <r>
    <s v="E1023"/>
    <s v="Catherine"/>
    <s v="Mutua"/>
    <x v="0"/>
    <x v="5"/>
    <s v="Sales"/>
    <s v="Sales Analyst"/>
    <x v="23"/>
    <d v="2022-01-20T00:00:00"/>
    <n v="175836"/>
    <s v="Kisumu"/>
    <s v="Part-time"/>
    <n v="3"/>
    <x v="5"/>
    <x v="1"/>
    <x v="2"/>
    <x v="3"/>
  </r>
  <r>
    <s v="E1024"/>
    <s v="George"/>
    <s v="Cheruiyot"/>
    <x v="0"/>
    <x v="17"/>
    <s v="Customer Service"/>
    <s v="Service Assistant"/>
    <x v="24"/>
    <m/>
    <n v="40333"/>
    <s v="Mombasa"/>
    <s v="Part-time"/>
    <n v="3"/>
    <x v="10"/>
    <x v="0"/>
    <x v="3"/>
    <x v="0"/>
  </r>
  <r>
    <s v="E1025"/>
    <s v="Oscar"/>
    <s v="Mutua"/>
    <x v="1"/>
    <x v="18"/>
    <s v="IT"/>
    <s v="Systems Analyst"/>
    <x v="25"/>
    <m/>
    <n v="195708"/>
    <s v="Nakuru"/>
    <s v="Contract"/>
    <n v="3"/>
    <x v="3"/>
    <x v="0"/>
    <x v="2"/>
    <x v="0"/>
  </r>
  <r>
    <s v="E1026"/>
    <s v="Irene"/>
    <s v="Njoroge"/>
    <x v="1"/>
    <x v="19"/>
    <s v="Marketing"/>
    <s v="SEO Specialist"/>
    <x v="26"/>
    <m/>
    <n v="164149"/>
    <s v="Nairobi"/>
    <s v="Full-time"/>
    <n v="3"/>
    <x v="4"/>
    <x v="0"/>
    <x v="0"/>
    <x v="2"/>
  </r>
  <r>
    <s v="E1027"/>
    <s v="Tom"/>
    <s v="Kiptoo"/>
    <x v="1"/>
    <x v="20"/>
    <s v="Sales"/>
    <s v="Sales Executive"/>
    <x v="27"/>
    <m/>
    <n v="129909"/>
    <s v="Nairobi"/>
    <s v="Contract"/>
    <n v="4"/>
    <x v="10"/>
    <x v="0"/>
    <x v="3"/>
    <x v="1"/>
  </r>
  <r>
    <s v="E1028"/>
    <s v="Faith"/>
    <s v="Wanjiku"/>
    <x v="0"/>
    <x v="21"/>
    <s v="IT"/>
    <s v="Software Developer"/>
    <x v="28"/>
    <m/>
    <n v="104009"/>
    <s v="Nairobi"/>
    <s v="Contract"/>
    <n v="2"/>
    <x v="3"/>
    <x v="0"/>
    <x v="2"/>
    <x v="1"/>
  </r>
  <r>
    <s v="E1029"/>
    <s v="Susan"/>
    <s v="Otieno"/>
    <x v="0"/>
    <x v="22"/>
    <s v="Finance"/>
    <s v="Auditor"/>
    <x v="29"/>
    <d v="2021-08-14T00:00:00"/>
    <n v="154618"/>
    <s v="Mombasa"/>
    <s v="Part-time"/>
    <n v="5"/>
    <x v="7"/>
    <x v="1"/>
    <x v="0"/>
    <x v="0"/>
  </r>
  <r>
    <s v="E1030"/>
    <s v="Catherine"/>
    <s v="Obiero"/>
    <x v="0"/>
    <x v="8"/>
    <s v="Operations"/>
    <s v="Coordinator"/>
    <x v="30"/>
    <m/>
    <n v="170577"/>
    <s v="Nairobi"/>
    <s v="Part-time"/>
    <n v="1"/>
    <x v="4"/>
    <x v="0"/>
    <x v="0"/>
    <x v="0"/>
  </r>
  <r>
    <s v="E1031"/>
    <s v="Brian"/>
    <s v="Obiero"/>
    <x v="1"/>
    <x v="23"/>
    <s v="Marketing"/>
    <s v="SEO Specialist"/>
    <x v="31"/>
    <m/>
    <n v="149280"/>
    <s v="Nakuru"/>
    <s v="Full-time"/>
    <n v="5"/>
    <x v="7"/>
    <x v="0"/>
    <x v="0"/>
    <x v="2"/>
  </r>
  <r>
    <s v="E1032"/>
    <s v="Susan"/>
    <s v="Achieng"/>
    <x v="1"/>
    <x v="2"/>
    <s v="HR"/>
    <s v="HR Assistant"/>
    <x v="32"/>
    <m/>
    <n v="79574"/>
    <s v="Kisumu"/>
    <s v="Contract"/>
    <n v="1"/>
    <x v="7"/>
    <x v="0"/>
    <x v="0"/>
    <x v="1"/>
  </r>
  <r>
    <s v="E1033"/>
    <s v="Susan"/>
    <s v="Mwangi"/>
    <x v="1"/>
    <x v="23"/>
    <s v="Sales"/>
    <s v="Sales Executive"/>
    <x v="33"/>
    <d v="2019-05-16T00:00:00"/>
    <n v="84607"/>
    <s v="Nairobi"/>
    <s v="Full-time"/>
    <n v="1"/>
    <x v="1"/>
    <x v="1"/>
    <x v="1"/>
    <x v="2"/>
  </r>
  <r>
    <s v="E1034"/>
    <s v="Queen"/>
    <s v="Gichohi"/>
    <x v="0"/>
    <x v="20"/>
    <s v="HR"/>
    <s v="Recruiter"/>
    <x v="34"/>
    <m/>
    <n v="75996"/>
    <s v="Kisumu"/>
    <s v="Contract"/>
    <n v="1"/>
    <x v="8"/>
    <x v="0"/>
    <x v="0"/>
    <x v="1"/>
  </r>
  <r>
    <s v="E1035"/>
    <s v="Queen"/>
    <s v="Oluoch"/>
    <x v="0"/>
    <x v="6"/>
    <s v="Finance"/>
    <s v="Accountant"/>
    <x v="35"/>
    <m/>
    <n v="102698"/>
    <s v="Nakuru"/>
    <s v="Contract"/>
    <n v="2"/>
    <x v="9"/>
    <x v="0"/>
    <x v="1"/>
    <x v="2"/>
  </r>
  <r>
    <s v="E1036"/>
    <s v="Irene"/>
    <s v="Obiero"/>
    <x v="1"/>
    <x v="24"/>
    <s v="IT"/>
    <s v="Software Developer"/>
    <x v="36"/>
    <m/>
    <n v="191791"/>
    <s v="Mombasa"/>
    <s v="Contract"/>
    <n v="1"/>
    <x v="10"/>
    <x v="0"/>
    <x v="3"/>
    <x v="2"/>
  </r>
  <r>
    <s v="E1037"/>
    <s v="Hassan"/>
    <s v="Kamau"/>
    <x v="0"/>
    <x v="22"/>
    <s v="HR"/>
    <s v="HR Assistant"/>
    <x v="37"/>
    <m/>
    <n v="122348"/>
    <s v="Kisumu"/>
    <s v="Part-time"/>
    <n v="3"/>
    <x v="6"/>
    <x v="0"/>
    <x v="0"/>
    <x v="0"/>
  </r>
  <r>
    <s v="E1038"/>
    <s v="Hassan"/>
    <s v="Cheruiyot"/>
    <x v="0"/>
    <x v="5"/>
    <s v="IT"/>
    <s v="Software Developer"/>
    <x v="38"/>
    <m/>
    <n v="110475"/>
    <s v="Nairobi"/>
    <s v="Contract"/>
    <n v="2"/>
    <x v="3"/>
    <x v="0"/>
    <x v="2"/>
    <x v="3"/>
  </r>
  <r>
    <s v="E1039"/>
    <s v="James"/>
    <s v="Mutua"/>
    <x v="1"/>
    <x v="9"/>
    <s v="HR"/>
    <s v="Recruiter"/>
    <x v="39"/>
    <d v="2023-05-05T00:00:00"/>
    <n v="67971"/>
    <s v="Nairobi"/>
    <s v="Part-time"/>
    <n v="1"/>
    <x v="3"/>
    <x v="1"/>
    <x v="2"/>
    <x v="2"/>
  </r>
  <r>
    <s v="E1040"/>
    <s v="Kevin"/>
    <s v="Mutua"/>
    <x v="1"/>
    <x v="16"/>
    <s v="HR"/>
    <s v="Recruiter"/>
    <x v="40"/>
    <d v="2020-10-04T00:00:00"/>
    <n v="112261"/>
    <s v="Mombasa"/>
    <s v="Full-time"/>
    <n v="1"/>
    <x v="1"/>
    <x v="1"/>
    <x v="1"/>
    <x v="2"/>
  </r>
  <r>
    <s v="E1041"/>
    <s v="Eunice"/>
    <s v="Wambui"/>
    <x v="0"/>
    <x v="25"/>
    <s v="Sales"/>
    <s v="Sales Analyst"/>
    <x v="41"/>
    <m/>
    <n v="179791"/>
    <s v="Mombasa"/>
    <s v="Full-time"/>
    <n v="3"/>
    <x v="6"/>
    <x v="0"/>
    <x v="0"/>
    <x v="1"/>
  </r>
  <r>
    <s v="E1042"/>
    <s v="David"/>
    <s v="Kiptoo"/>
    <x v="1"/>
    <x v="9"/>
    <s v="HR"/>
    <s v="HR Officer"/>
    <x v="42"/>
    <m/>
    <n v="133807"/>
    <s v="Kisumu"/>
    <s v="Full-time"/>
    <n v="2"/>
    <x v="10"/>
    <x v="0"/>
    <x v="3"/>
    <x v="2"/>
  </r>
  <r>
    <s v="E1043"/>
    <s v="Ann"/>
    <s v="Wanjiku"/>
    <x v="0"/>
    <x v="23"/>
    <s v="Finance"/>
    <s v="Financial Analyst"/>
    <x v="43"/>
    <m/>
    <n v="144558"/>
    <s v="Kisumu"/>
    <s v="Full-time"/>
    <n v="2"/>
    <x v="7"/>
    <x v="0"/>
    <x v="0"/>
    <x v="2"/>
  </r>
  <r>
    <s v="E1044"/>
    <s v="Eunice"/>
    <s v="Wanjiku"/>
    <x v="0"/>
    <x v="2"/>
    <s v="Finance"/>
    <s v="Financial Analyst"/>
    <x v="44"/>
    <m/>
    <n v="197081"/>
    <s v="Mombasa"/>
    <s v="Full-time"/>
    <n v="1"/>
    <x v="7"/>
    <x v="0"/>
    <x v="0"/>
    <x v="1"/>
  </r>
  <r>
    <s v="E1045"/>
    <s v="Lynn"/>
    <s v="Gichohi"/>
    <x v="0"/>
    <x v="2"/>
    <s v="Operations"/>
    <s v="Coordinator"/>
    <x v="45"/>
    <d v="2018-10-14T00:00:00"/>
    <n v="193540"/>
    <s v="Kisumu"/>
    <s v="Contract"/>
    <n v="2"/>
    <x v="1"/>
    <x v="1"/>
    <x v="1"/>
    <x v="1"/>
  </r>
  <r>
    <s v="E1046"/>
    <s v="Peter"/>
    <s v="Wanjiku"/>
    <x v="0"/>
    <x v="22"/>
    <s v="Operations"/>
    <s v="Coordinator"/>
    <x v="46"/>
    <d v="2016-10-31T00:00:00"/>
    <n v="110052"/>
    <s v="Nairobi"/>
    <s v="Full-time"/>
    <n v="4"/>
    <x v="1"/>
    <x v="1"/>
    <x v="1"/>
    <x v="0"/>
  </r>
  <r>
    <s v="E1047"/>
    <s v="Robert"/>
    <s v="Mwangi"/>
    <x v="0"/>
    <x v="5"/>
    <s v="Customer Service"/>
    <s v="Customer Care Rep"/>
    <x v="47"/>
    <m/>
    <n v="171144"/>
    <s v="Nairobi"/>
    <s v="Contract"/>
    <n v="4"/>
    <x v="9"/>
    <x v="0"/>
    <x v="1"/>
    <x v="3"/>
  </r>
  <r>
    <s v="E1048"/>
    <s v="Eunice"/>
    <s v="Kosgei"/>
    <x v="0"/>
    <x v="22"/>
    <s v="IT"/>
    <s v="IT Support"/>
    <x v="48"/>
    <m/>
    <n v="69761"/>
    <s v="Nakuru"/>
    <s v="Part-time"/>
    <n v="1"/>
    <x v="10"/>
    <x v="0"/>
    <x v="3"/>
    <x v="0"/>
  </r>
  <r>
    <s v="E1049"/>
    <s v="Brian"/>
    <s v="Njoroge"/>
    <x v="0"/>
    <x v="6"/>
    <s v="Finance"/>
    <s v="Financial Analyst"/>
    <x v="49"/>
    <m/>
    <n v="70727"/>
    <s v="Kisumu"/>
    <s v="Full-time"/>
    <n v="4"/>
    <x v="7"/>
    <x v="0"/>
    <x v="0"/>
    <x v="2"/>
  </r>
  <r>
    <s v="E1050"/>
    <s v="James"/>
    <s v="Obiero"/>
    <x v="0"/>
    <x v="9"/>
    <s v="Finance"/>
    <s v="Auditor"/>
    <x v="50"/>
    <d v="2019-01-30T00:00:00"/>
    <n v="99161"/>
    <s v="Kisumu"/>
    <s v="Part-time"/>
    <n v="4"/>
    <x v="5"/>
    <x v="1"/>
    <x v="2"/>
    <x v="2"/>
  </r>
  <r>
    <s v="E1051"/>
    <s v="Queen"/>
    <s v="Kamau"/>
    <x v="0"/>
    <x v="12"/>
    <s v="Marketing"/>
    <s v="Content Creator"/>
    <x v="51"/>
    <m/>
    <n v="120579"/>
    <s v="Nakuru"/>
    <s v="Contract"/>
    <n v="5"/>
    <x v="7"/>
    <x v="0"/>
    <x v="0"/>
    <x v="3"/>
  </r>
  <r>
    <s v="E1052"/>
    <s v="Oscar"/>
    <s v="Chebet"/>
    <x v="1"/>
    <x v="26"/>
    <s v="IT"/>
    <s v="Software Developer"/>
    <x v="52"/>
    <m/>
    <n v="146540"/>
    <s v="Nakuru"/>
    <s v="Full-time"/>
    <n v="4"/>
    <x v="3"/>
    <x v="0"/>
    <x v="2"/>
    <x v="3"/>
  </r>
  <r>
    <s v="E1053"/>
    <s v="Ann"/>
    <s v="Mwangi"/>
    <x v="0"/>
    <x v="27"/>
    <s v="IT"/>
    <s v="Systems Analyst"/>
    <x v="53"/>
    <m/>
    <n v="108275"/>
    <s v="Nairobi"/>
    <s v="Part-time"/>
    <n v="3"/>
    <x v="6"/>
    <x v="0"/>
    <x v="0"/>
    <x v="3"/>
  </r>
  <r>
    <s v="E1054"/>
    <s v="Naomi"/>
    <s v="Mutua"/>
    <x v="1"/>
    <x v="28"/>
    <s v="IT"/>
    <s v="Systems Analyst"/>
    <x v="54"/>
    <m/>
    <n v="88504"/>
    <s v="Nairobi"/>
    <s v="Contract"/>
    <n v="5"/>
    <x v="7"/>
    <x v="0"/>
    <x v="0"/>
    <x v="3"/>
  </r>
  <r>
    <s v="E1055"/>
    <s v="David"/>
    <s v="Obiero"/>
    <x v="1"/>
    <x v="9"/>
    <s v="Sales"/>
    <s v="Sales Analyst"/>
    <x v="55"/>
    <m/>
    <n v="132911"/>
    <s v="Mombasa"/>
    <s v="Contract"/>
    <n v="3"/>
    <x v="3"/>
    <x v="0"/>
    <x v="2"/>
    <x v="2"/>
  </r>
  <r>
    <s v="E1056"/>
    <s v="Queen"/>
    <s v="Wambui"/>
    <x v="1"/>
    <x v="16"/>
    <s v="Operations"/>
    <s v="Coordinator"/>
    <x v="56"/>
    <m/>
    <n v="132305"/>
    <s v="Nairobi"/>
    <s v="Full-time"/>
    <n v="2"/>
    <x v="2"/>
    <x v="0"/>
    <x v="2"/>
    <x v="2"/>
  </r>
  <r>
    <s v="E1057"/>
    <s v="Peter"/>
    <s v="Njoroge"/>
    <x v="1"/>
    <x v="13"/>
    <s v="Sales"/>
    <s v="Sales Executive"/>
    <x v="57"/>
    <m/>
    <n v="46868"/>
    <s v="Mombasa"/>
    <s v="Part-time"/>
    <n v="1"/>
    <x v="2"/>
    <x v="0"/>
    <x v="2"/>
    <x v="0"/>
  </r>
  <r>
    <s v="E1058"/>
    <s v="Ann"/>
    <s v="Kosgei"/>
    <x v="0"/>
    <x v="18"/>
    <s v="IT"/>
    <s v="Systems Analyst"/>
    <x v="58"/>
    <m/>
    <n v="76491"/>
    <s v="Kisumu"/>
    <s v="Contract"/>
    <n v="3"/>
    <x v="2"/>
    <x v="0"/>
    <x v="2"/>
    <x v="0"/>
  </r>
  <r>
    <s v="E1059"/>
    <s v="Kevin"/>
    <s v="Cheruiyot"/>
    <x v="0"/>
    <x v="12"/>
    <s v="IT"/>
    <s v="Systems Analyst"/>
    <x v="59"/>
    <d v="2024-11-04T00:00:00"/>
    <n v="187397"/>
    <s v="Kisumu"/>
    <s v="Part-time"/>
    <n v="1"/>
    <x v="1"/>
    <x v="1"/>
    <x v="1"/>
    <x v="3"/>
  </r>
  <r>
    <s v="E1060"/>
    <s v="Mary"/>
    <s v="Achieng"/>
    <x v="1"/>
    <x v="8"/>
    <s v="Operations"/>
    <s v="Coordinator"/>
    <x v="60"/>
    <m/>
    <n v="57008"/>
    <s v="Nairobi"/>
    <s v="Part-time"/>
    <n v="4"/>
    <x v="0"/>
    <x v="0"/>
    <x v="0"/>
    <x v="0"/>
  </r>
  <r>
    <s v="E1061"/>
    <s v="Naomi"/>
    <s v="Achieng"/>
    <x v="1"/>
    <x v="18"/>
    <s v="Customer Service"/>
    <s v="Support Agent"/>
    <x v="61"/>
    <d v="2023-08-17T00:00:00"/>
    <n v="157974"/>
    <s v="Nakuru"/>
    <s v="Full-time"/>
    <n v="1"/>
    <x v="5"/>
    <x v="1"/>
    <x v="2"/>
    <x v="0"/>
  </r>
  <r>
    <s v="E1062"/>
    <s v="Hassan"/>
    <s v="Oluoch"/>
    <x v="1"/>
    <x v="18"/>
    <s v="Finance"/>
    <s v="Auditor"/>
    <x v="62"/>
    <d v="2016-08-29T00:00:00"/>
    <n v="129086"/>
    <s v="Mombasa"/>
    <s v="Part-time"/>
    <n v="1"/>
    <x v="9"/>
    <x v="1"/>
    <x v="1"/>
    <x v="0"/>
  </r>
  <r>
    <s v="E1063"/>
    <s v="Queen"/>
    <s v="Wanjiku"/>
    <x v="0"/>
    <x v="14"/>
    <s v="HR"/>
    <s v="HR Officer"/>
    <x v="63"/>
    <m/>
    <n v="130758"/>
    <s v="Nairobi"/>
    <s v="Part-time"/>
    <n v="2"/>
    <x v="1"/>
    <x v="0"/>
    <x v="1"/>
    <x v="3"/>
  </r>
  <r>
    <s v="E1064"/>
    <s v="Faith"/>
    <s v="Kosgei"/>
    <x v="1"/>
    <x v="13"/>
    <s v="Finance"/>
    <s v="Financial Analyst"/>
    <x v="64"/>
    <d v="2024-04-06T00:00:00"/>
    <n v="138608"/>
    <s v="Mombasa"/>
    <s v="Contract"/>
    <n v="4"/>
    <x v="2"/>
    <x v="1"/>
    <x v="2"/>
    <x v="0"/>
  </r>
  <r>
    <s v="E1065"/>
    <s v="Robert"/>
    <s v="Cheruiyot"/>
    <x v="0"/>
    <x v="26"/>
    <s v="Finance"/>
    <s v="Auditor"/>
    <x v="65"/>
    <m/>
    <n v="197208"/>
    <s v="Nakuru"/>
    <s v="Full-time"/>
    <n v="1"/>
    <x v="9"/>
    <x v="0"/>
    <x v="1"/>
    <x v="3"/>
  </r>
  <r>
    <s v="E1066"/>
    <s v="Queen"/>
    <s v="Kiptoo"/>
    <x v="1"/>
    <x v="17"/>
    <s v="Marketing"/>
    <s v="Marketing Officer"/>
    <x v="66"/>
    <m/>
    <n v="165443"/>
    <s v="Nairobi"/>
    <s v="Contract"/>
    <n v="2"/>
    <x v="5"/>
    <x v="0"/>
    <x v="2"/>
    <x v="0"/>
  </r>
  <r>
    <s v="E1067"/>
    <s v="Mary"/>
    <s v="Omondi"/>
    <x v="1"/>
    <x v="22"/>
    <s v="Operations"/>
    <s v="Operations Assistant"/>
    <x v="67"/>
    <m/>
    <n v="48313"/>
    <s v="Nairobi"/>
    <s v="Full-time"/>
    <n v="1"/>
    <x v="3"/>
    <x v="0"/>
    <x v="2"/>
    <x v="0"/>
  </r>
  <r>
    <s v="E1068"/>
    <s v="Hassan"/>
    <s v="Njoroge"/>
    <x v="0"/>
    <x v="29"/>
    <s v="IT"/>
    <s v="Systems Analyst"/>
    <x v="68"/>
    <m/>
    <n v="105911"/>
    <s v="Nairobi"/>
    <s v="Contract"/>
    <n v="1"/>
    <x v="7"/>
    <x v="0"/>
    <x v="0"/>
    <x v="2"/>
  </r>
  <r>
    <s v="E1069"/>
    <s v="Eunice"/>
    <s v="Cheruiyot"/>
    <x v="0"/>
    <x v="30"/>
    <s v="Operations"/>
    <s v="Operations Assistant"/>
    <x v="69"/>
    <m/>
    <n v="157856"/>
    <s v="Nakuru"/>
    <s v="Contract"/>
    <n v="3"/>
    <x v="2"/>
    <x v="0"/>
    <x v="2"/>
    <x v="3"/>
  </r>
  <r>
    <s v="E1070"/>
    <s v="Hassan"/>
    <s v="Achieng"/>
    <x v="1"/>
    <x v="4"/>
    <s v="HR"/>
    <s v="HR Officer"/>
    <x v="70"/>
    <d v="2018-12-23T00:00:00"/>
    <n v="49915"/>
    <s v="Mombasa"/>
    <s v="Full-time"/>
    <n v="2"/>
    <x v="2"/>
    <x v="1"/>
    <x v="2"/>
    <x v="2"/>
  </r>
  <r>
    <s v="E1071"/>
    <s v="Mary"/>
    <s v="Omondi"/>
    <x v="0"/>
    <x v="24"/>
    <s v="Finance"/>
    <s v="Auditor"/>
    <x v="71"/>
    <m/>
    <n v="50763"/>
    <s v="Kisumu"/>
    <s v="Contract"/>
    <n v="2"/>
    <x v="10"/>
    <x v="0"/>
    <x v="3"/>
    <x v="2"/>
  </r>
  <r>
    <s v="E1072"/>
    <s v="Tom"/>
    <s v="Obiero"/>
    <x v="1"/>
    <x v="6"/>
    <s v="Finance"/>
    <s v="Accountant"/>
    <x v="72"/>
    <m/>
    <n v="143411"/>
    <s v="Mombasa"/>
    <s v="Part-time"/>
    <n v="1"/>
    <x v="4"/>
    <x v="0"/>
    <x v="0"/>
    <x v="2"/>
  </r>
  <r>
    <s v="E1073"/>
    <s v="Ann"/>
    <s v="Mwangi"/>
    <x v="0"/>
    <x v="23"/>
    <s v="HR"/>
    <s v="Recruiter"/>
    <x v="73"/>
    <m/>
    <n v="53066"/>
    <s v="Mombasa"/>
    <s v="Contract"/>
    <n v="3"/>
    <x v="0"/>
    <x v="0"/>
    <x v="0"/>
    <x v="2"/>
  </r>
  <r>
    <s v="E1074"/>
    <s v="Robert"/>
    <s v="Omondi"/>
    <x v="0"/>
    <x v="20"/>
    <s v="IT"/>
    <s v="Systems Analyst"/>
    <x v="74"/>
    <m/>
    <n v="55895"/>
    <s v="Mombasa"/>
    <s v="Contract"/>
    <n v="1"/>
    <x v="5"/>
    <x v="0"/>
    <x v="2"/>
    <x v="1"/>
  </r>
  <r>
    <s v="E1075"/>
    <s v="Catherine"/>
    <s v="Wambui"/>
    <x v="1"/>
    <x v="5"/>
    <s v="Operations"/>
    <s v="Operations Assistant"/>
    <x v="75"/>
    <m/>
    <n v="189119"/>
    <s v="Nakuru"/>
    <s v="Full-time"/>
    <n v="3"/>
    <x v="2"/>
    <x v="0"/>
    <x v="2"/>
    <x v="3"/>
  </r>
  <r>
    <s v="E1076"/>
    <s v="David"/>
    <s v="Kosgei"/>
    <x v="0"/>
    <x v="24"/>
    <s v="Sales"/>
    <s v="Sales Analyst"/>
    <x v="76"/>
    <d v="2015-12-27T00:00:00"/>
    <n v="184499"/>
    <s v="Nairobi"/>
    <s v="Full-time"/>
    <n v="5"/>
    <x v="1"/>
    <x v="1"/>
    <x v="1"/>
    <x v="2"/>
  </r>
  <r>
    <s v="E1077"/>
    <s v="Ann"/>
    <s v="Chebet"/>
    <x v="1"/>
    <x v="22"/>
    <s v="Sales"/>
    <s v="Sales Executive"/>
    <x v="77"/>
    <m/>
    <n v="191788"/>
    <s v="Kisumu"/>
    <s v="Contract"/>
    <n v="1"/>
    <x v="0"/>
    <x v="0"/>
    <x v="0"/>
    <x v="0"/>
  </r>
  <r>
    <s v="E1078"/>
    <s v="Oscar"/>
    <s v="Cheruiyot"/>
    <x v="0"/>
    <x v="24"/>
    <s v="Customer Service"/>
    <s v="Customer Care Rep"/>
    <x v="78"/>
    <m/>
    <n v="148530"/>
    <s v="Kisumu"/>
    <s v="Contract"/>
    <n v="5"/>
    <x v="7"/>
    <x v="0"/>
    <x v="0"/>
    <x v="2"/>
  </r>
  <r>
    <s v="E1079"/>
    <s v="Catherine"/>
    <s v="Otieno"/>
    <x v="1"/>
    <x v="3"/>
    <s v="Marketing"/>
    <s v="Marketing Officer"/>
    <x v="79"/>
    <d v="2021-06-21T00:00:00"/>
    <n v="153346"/>
    <s v="Nairobi"/>
    <s v="Full-time"/>
    <n v="2"/>
    <x v="1"/>
    <x v="1"/>
    <x v="1"/>
    <x v="0"/>
  </r>
  <r>
    <s v="E1080"/>
    <s v="Queen"/>
    <s v="Otieno"/>
    <x v="0"/>
    <x v="22"/>
    <s v="Sales"/>
    <s v="Business Developer"/>
    <x v="80"/>
    <m/>
    <n v="144953"/>
    <s v="Kisumu"/>
    <s v="Part-time"/>
    <n v="3"/>
    <x v="8"/>
    <x v="0"/>
    <x v="0"/>
    <x v="0"/>
  </r>
  <r>
    <s v="E1081"/>
    <s v="Irene"/>
    <s v="Wanjiku"/>
    <x v="0"/>
    <x v="24"/>
    <s v="Finance"/>
    <s v="Auditor"/>
    <x v="81"/>
    <m/>
    <n v="156620"/>
    <s v="Nairobi"/>
    <s v="Contract"/>
    <n v="2"/>
    <x v="8"/>
    <x v="0"/>
    <x v="0"/>
    <x v="2"/>
  </r>
  <r>
    <s v="E1082"/>
    <s v="Kevin"/>
    <s v="Mutua"/>
    <x v="0"/>
    <x v="29"/>
    <s v="IT"/>
    <s v="Software Developer"/>
    <x v="82"/>
    <m/>
    <n v="64762"/>
    <s v="Nakuru"/>
    <s v="Full-time"/>
    <n v="4"/>
    <x v="5"/>
    <x v="0"/>
    <x v="2"/>
    <x v="2"/>
  </r>
  <r>
    <s v="E1083"/>
    <s v="Brian"/>
    <s v="Kiptoo"/>
    <x v="1"/>
    <x v="24"/>
    <s v="Finance"/>
    <s v="Auditor"/>
    <x v="83"/>
    <d v="2019-11-08T00:00:00"/>
    <n v="121198"/>
    <s v="Kisumu"/>
    <s v="Part-time"/>
    <n v="2"/>
    <x v="1"/>
    <x v="1"/>
    <x v="1"/>
    <x v="2"/>
  </r>
  <r>
    <s v="E1084"/>
    <s v="Faith"/>
    <s v="Kiptoo"/>
    <x v="0"/>
    <x v="15"/>
    <s v="IT"/>
    <s v="IT Support"/>
    <x v="84"/>
    <d v="2017-12-07T00:00:00"/>
    <n v="199043"/>
    <s v="Mombasa"/>
    <s v="Full-time"/>
    <n v="3"/>
    <x v="2"/>
    <x v="1"/>
    <x v="2"/>
    <x v="2"/>
  </r>
  <r>
    <s v="E1085"/>
    <s v="Irene"/>
    <s v="Otieno"/>
    <x v="0"/>
    <x v="15"/>
    <s v="IT"/>
    <s v="IT Support"/>
    <x v="85"/>
    <m/>
    <n v="172896"/>
    <s v="Mombasa"/>
    <s v="Part-time"/>
    <n v="2"/>
    <x v="8"/>
    <x v="0"/>
    <x v="0"/>
    <x v="2"/>
  </r>
  <r>
    <s v="E1086"/>
    <s v="Mary"/>
    <s v="Chebet"/>
    <x v="0"/>
    <x v="23"/>
    <s v="Marketing"/>
    <s v="SEO Specialist"/>
    <x v="86"/>
    <d v="2023-01-15T00:00:00"/>
    <n v="136318"/>
    <s v="Nairobi"/>
    <s v="Contract"/>
    <n v="2"/>
    <x v="1"/>
    <x v="1"/>
    <x v="1"/>
    <x v="2"/>
  </r>
  <r>
    <s v="E1087"/>
    <s v="Lynn"/>
    <s v="Otieno"/>
    <x v="0"/>
    <x v="1"/>
    <s v="Customer Service"/>
    <s v="Customer Care Rep"/>
    <x v="87"/>
    <d v="2019-09-11T00:00:00"/>
    <n v="127504"/>
    <s v="Kisumu"/>
    <s v="Full-time"/>
    <n v="2"/>
    <x v="9"/>
    <x v="1"/>
    <x v="1"/>
    <x v="0"/>
  </r>
  <r>
    <s v="E1088"/>
    <s v="Ann"/>
    <s v="Wambui"/>
    <x v="1"/>
    <x v="28"/>
    <s v="Operations"/>
    <s v="Coordinator"/>
    <x v="88"/>
    <m/>
    <n v="40972"/>
    <s v="Kisumu"/>
    <s v="Contract"/>
    <n v="3"/>
    <x v="8"/>
    <x v="0"/>
    <x v="0"/>
    <x v="3"/>
  </r>
  <r>
    <s v="E1089"/>
    <s v="Hassan"/>
    <s v="Obiero"/>
    <x v="0"/>
    <x v="11"/>
    <s v="Sales"/>
    <s v="Business Developer"/>
    <x v="89"/>
    <d v="2019-10-09T00:00:00"/>
    <n v="114306"/>
    <s v="Nairobi"/>
    <s v="Part-time"/>
    <n v="5"/>
    <x v="3"/>
    <x v="1"/>
    <x v="2"/>
    <x v="0"/>
  </r>
  <r>
    <s v="E1090"/>
    <s v="Brian"/>
    <s v="Oluoch"/>
    <x v="0"/>
    <x v="4"/>
    <s v="Sales"/>
    <s v="Business Developer"/>
    <x v="90"/>
    <m/>
    <n v="167657"/>
    <s v="Kisumu"/>
    <s v="Part-time"/>
    <n v="5"/>
    <x v="7"/>
    <x v="0"/>
    <x v="0"/>
    <x v="2"/>
  </r>
  <r>
    <s v="E1091"/>
    <s v="Mary"/>
    <s v="Mwangi"/>
    <x v="0"/>
    <x v="31"/>
    <s v="Finance"/>
    <s v="Auditor"/>
    <x v="91"/>
    <m/>
    <n v="93885"/>
    <s v="Mombasa"/>
    <s v="Part-time"/>
    <n v="1"/>
    <x v="8"/>
    <x v="0"/>
    <x v="0"/>
    <x v="1"/>
  </r>
  <r>
    <s v="E1092"/>
    <s v="Kevin"/>
    <s v="Obiero"/>
    <x v="0"/>
    <x v="25"/>
    <s v="Sales"/>
    <s v="Sales Executive"/>
    <x v="92"/>
    <m/>
    <n v="50380"/>
    <s v="Mombasa"/>
    <s v="Contract"/>
    <n v="3"/>
    <x v="3"/>
    <x v="0"/>
    <x v="2"/>
    <x v="1"/>
  </r>
  <r>
    <s v="E1093"/>
    <s v="Kevin"/>
    <s v="Kosgei"/>
    <x v="0"/>
    <x v="15"/>
    <s v="Sales"/>
    <s v="Sales Analyst"/>
    <x v="93"/>
    <m/>
    <n v="44617"/>
    <s v="Nairobi"/>
    <s v="Full-time"/>
    <n v="1"/>
    <x v="9"/>
    <x v="0"/>
    <x v="1"/>
    <x v="2"/>
  </r>
  <r>
    <s v="E1094"/>
    <s v="Irene"/>
    <s v="Kamau"/>
    <x v="1"/>
    <x v="10"/>
    <s v="Marketing"/>
    <s v="SEO Specialist"/>
    <x v="94"/>
    <d v="2024-07-03T00:00:00"/>
    <n v="43233"/>
    <s v="Nakuru"/>
    <s v="Full-time"/>
    <n v="4"/>
    <x v="1"/>
    <x v="1"/>
    <x v="1"/>
    <x v="2"/>
  </r>
  <r>
    <s v="E1095"/>
    <s v="Tom"/>
    <s v="Kosgei"/>
    <x v="1"/>
    <x v="9"/>
    <s v="Customer Service"/>
    <s v="Support Agent"/>
    <x v="95"/>
    <m/>
    <n v="146625"/>
    <s v="Mombasa"/>
    <s v="Part-time"/>
    <n v="5"/>
    <x v="7"/>
    <x v="0"/>
    <x v="0"/>
    <x v="2"/>
  </r>
  <r>
    <s v="E1096"/>
    <s v="Peter"/>
    <s v="Obiero"/>
    <x v="1"/>
    <x v="6"/>
    <s v="Customer Service"/>
    <s v="Support Agent"/>
    <x v="96"/>
    <m/>
    <n v="45897"/>
    <s v="Nakuru"/>
    <s v="Full-time"/>
    <n v="3"/>
    <x v="2"/>
    <x v="0"/>
    <x v="2"/>
    <x v="2"/>
  </r>
  <r>
    <s v="E1097"/>
    <s v="Queen"/>
    <s v="Omondi"/>
    <x v="1"/>
    <x v="12"/>
    <s v="Marketing"/>
    <s v="SEO Specialist"/>
    <x v="97"/>
    <m/>
    <n v="78791"/>
    <s v="Nairobi"/>
    <s v="Part-time"/>
    <n v="4"/>
    <x v="6"/>
    <x v="0"/>
    <x v="0"/>
    <x v="3"/>
  </r>
  <r>
    <s v="E1098"/>
    <s v="George"/>
    <s v="Wanjiku"/>
    <x v="0"/>
    <x v="31"/>
    <s v="Marketing"/>
    <s v="SEO Specialist"/>
    <x v="98"/>
    <m/>
    <n v="102892"/>
    <s v="Nakuru"/>
    <s v="Part-time"/>
    <n v="4"/>
    <x v="4"/>
    <x v="0"/>
    <x v="0"/>
    <x v="1"/>
  </r>
  <r>
    <s v="E1099"/>
    <s v="Naomi"/>
    <s v="Wambui"/>
    <x v="1"/>
    <x v="16"/>
    <s v="IT"/>
    <s v="Software Developer"/>
    <x v="99"/>
    <m/>
    <n v="50238"/>
    <s v="Mombasa"/>
    <s v="Part-time"/>
    <n v="2"/>
    <x v="4"/>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FB4B47-5715-476F-BE5D-6E0BF7946B8B}" name="PivotTable2"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D12" firstHeaderRow="1" firstDataRow="2" firstDataCol="1"/>
  <pivotFields count="4">
    <pivotField dataField="1" subtotalTop="0" showAll="0" defaultSubtotal="0"/>
    <pivotField axis="axisRow" allDrilled="1" showAll="0" dataSourceSort="1" defaultAttributeDrillState="1">
      <items count="8">
        <item x="0"/>
        <item x="1"/>
        <item x="2"/>
        <item x="3"/>
        <item x="4"/>
        <item x="5"/>
        <item x="6"/>
        <item t="default"/>
      </items>
    </pivotField>
    <pivotField axis="axisCol" allDrilled="1" showAll="0" dataSourceSort="1" defaultAttributeDrillState="1">
      <items count="3">
        <item x="0"/>
        <item x="1"/>
        <item t="default"/>
      </items>
    </pivotField>
    <pivotField allDrilled="1" subtotalTop="0" showAll="0" dataSourceSort="1" defaultSubtotal="0" defaultAttributeDrillState="1"/>
  </pivotFields>
  <rowFields count="1">
    <field x="1"/>
  </rowFields>
  <rowItems count="8">
    <i>
      <x/>
    </i>
    <i>
      <x v="1"/>
    </i>
    <i>
      <x v="2"/>
    </i>
    <i>
      <x v="3"/>
    </i>
    <i>
      <x v="4"/>
    </i>
    <i>
      <x v="5"/>
    </i>
    <i>
      <x v="6"/>
    </i>
    <i t="grand">
      <x/>
    </i>
  </rowItems>
  <colFields count="1">
    <field x="2"/>
  </colFields>
  <colItems count="3">
    <i>
      <x/>
    </i>
    <i>
      <x v="1"/>
    </i>
    <i t="grand">
      <x/>
    </i>
  </colItems>
  <dataFields count="1">
    <dataField name="Count of Employee_ID" fld="0"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8" format="4" series="1">
      <pivotArea type="data" outline="0" fieldPosition="0">
        <references count="2">
          <reference field="4294967294" count="1" selected="0">
            <x v="0"/>
          </reference>
          <reference field="2" count="1" selected="0">
            <x v="0"/>
          </reference>
        </references>
      </pivotArea>
    </chartFormat>
    <chartFormat chart="8" format="5" series="1">
      <pivotArea type="data" outline="0" fieldPosition="0">
        <references count="2">
          <reference field="4294967294" count="1" selected="0">
            <x v="0"/>
          </reference>
          <reference field="2" count="1" selected="0">
            <x v="1"/>
          </reference>
        </references>
      </pivotArea>
    </chartFormat>
  </chartFormats>
  <pivotHierarchies count="4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EmpData].[Tenure_Category].&amp;[Experience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employee_dataset.csv!EmpData">
        <x15:activeTabTopLevelEntity name="[Emp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9E213A-A35E-429C-B4BA-E8D8ED1E5718}" name="PivotTable4"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3:B11" firstHeaderRow="1" firstDataRow="1" firstDataCol="1"/>
  <pivotFields count="3">
    <pivotField dataField="1" subtotalTop="0" showAll="0" defaultSubtotal="0"/>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
    <i>
      <x v="2"/>
    </i>
    <i>
      <x/>
    </i>
    <i>
      <x v="5"/>
    </i>
    <i>
      <x v="4"/>
    </i>
    <i>
      <x v="6"/>
    </i>
    <i>
      <x v="1"/>
    </i>
    <i>
      <x v="3"/>
    </i>
    <i t="grand">
      <x/>
    </i>
  </rowItems>
  <colItems count="1">
    <i/>
  </colItems>
  <dataFields count="1">
    <dataField name="Sum of Salary" fld="0" baseField="0" baseItem="0" numFmtId="166"/>
  </dataFields>
  <formats count="2">
    <format dxfId="42">
      <pivotArea outline="0" collapsedLevelsAreSubtotals="1" fieldPosition="0"/>
    </format>
    <format dxfId="4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EmpData].[Tenure_Category].&amp;[Experience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employee_dataset.csv!EmpData">
        <x15:activeTabTopLevelEntity name="[Emp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FC314D-CAEF-4EFA-9287-470E21C891C0}" name="PivotTable11"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B7" firstHeaderRow="1" firstDataRow="1" firstDataCol="1" rowPageCount="1" colPageCount="1"/>
  <pivotFields count="5">
    <pivotField axis="axisRow" allDrilled="1" subtotalTop="0" showAll="0" dataSourceSort="1" defaultSubtotal="0" defaultAttributeDrillState="1">
      <items count="3">
        <item x="0"/>
        <item x="1"/>
        <item x="2"/>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pageFields count="1">
    <pageField fld="2" hier="14" name="[EmpData].[Status].[All]" cap="All"/>
  </pageFields>
  <dataFields count="1">
    <dataField name="Count of Employee_I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s>
  <pivotHierarchies count="4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EmpData].[Tenure_Category].&amp;[Experience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employee_dataset.csv!EmpData">
        <x15:activeTabTopLevelEntity name="[Emp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9786B9-D273-4C65-A8AA-80DB20F71383}" name="PivotTable13"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3:B11"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2"/>
    </i>
    <i>
      <x v="4"/>
    </i>
    <i>
      <x v="5"/>
    </i>
    <i>
      <x v="6"/>
    </i>
    <i>
      <x/>
    </i>
    <i>
      <x v="3"/>
    </i>
    <i>
      <x v="1"/>
    </i>
    <i t="grand">
      <x/>
    </i>
  </rowItems>
  <colItems count="1">
    <i/>
  </colItems>
  <dataFields count="1">
    <dataField name="Average of Salary" fld="1" subtotal="average" baseField="0" baseItem="0" numFmtId="166"/>
  </dataFields>
  <formats count="2">
    <format dxfId="40">
      <pivotArea outline="0" collapsedLevelsAreSubtotals="1" fieldPosition="0"/>
    </format>
    <format dxfId="39">
      <pivotArea dataOnly="0" labelOnly="1" outline="0" axis="axisValues" fieldPosition="0"/>
    </format>
  </formats>
  <chartFormats count="2">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EmpData].[Tenure_Category].&amp;[Experience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employee_dataset.csv!EmpData">
        <x15:activeTabTopLevelEntity name="[Emp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BF003C-A685-4087-B1C1-9976CABFCED9}" name="PivotTable14"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3:B8" firstHeaderRow="1" firstDataRow="1" firstDataCol="1" rowPageCount="1" colPageCount="1"/>
  <pivotFields count="5">
    <pivotField axis="axisPage" allDrilled="1" subtotalTop="0" showAll="0" dataSourceSort="1" defaultSubtotal="0" defaultAttributeDrillState="1"/>
    <pivotField axis="axisRow" allDrilled="1" subtotalTop="0" showAll="0" sortType="ascending"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pageFields count="1">
    <pageField fld="0" hier="14" name="[EmpData].[Status].[All]" cap="All"/>
  </pageFields>
  <dataFields count="1">
    <dataField name="Count of Employee_ID" fld="2" subtotal="count" baseField="0" baseItem="0"/>
  </dataFields>
  <formats count="1">
    <format dxfId="38">
      <pivotArea outline="0" collapsedLevelsAreSubtotals="1" fieldPosition="0"/>
    </format>
  </formats>
  <chartFormats count="3">
    <chartFormat chart="5" format="4"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0"/>
          </reference>
        </references>
      </pivotArea>
    </chartFormat>
    <chartFormat chart="15" format="1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EmpData].[Tenure_Category].&amp;[Experience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Performance_Score"/>
    <pivotHierarchy dragToData="1" caption="Average of Performance_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employee_dataset.csv!EmpData">
        <x15:activeTabTopLevelEntity name="[Emp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2702EA-0B3B-46DA-8AA5-BAEB15B868C8}" name="PivotTable2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18">
    <pivotField dataField="1" showAll="0"/>
    <pivotField showAll="0"/>
    <pivotField showAll="0"/>
    <pivotField showAll="0"/>
    <pivotField numFmtId="1" showAll="0"/>
    <pivotField showAll="0"/>
    <pivotField showAll="0"/>
    <pivotField numFmtId="14" showAll="0">
      <items count="101">
        <item x="71"/>
        <item x="42"/>
        <item x="48"/>
        <item x="50"/>
        <item x="24"/>
        <item x="62"/>
        <item x="84"/>
        <item x="89"/>
        <item x="36"/>
        <item x="29"/>
        <item x="76"/>
        <item x="27"/>
        <item x="2"/>
        <item x="46"/>
        <item x="15"/>
        <item x="0"/>
        <item x="73"/>
        <item x="60"/>
        <item x="5"/>
        <item x="11"/>
        <item x="70"/>
        <item x="77"/>
        <item x="3"/>
        <item x="14"/>
        <item x="99"/>
        <item x="98"/>
        <item x="30"/>
        <item x="26"/>
        <item x="72"/>
        <item x="12"/>
        <item x="91"/>
        <item x="80"/>
        <item x="19"/>
        <item x="88"/>
        <item x="45"/>
        <item x="34"/>
        <item x="81"/>
        <item x="10"/>
        <item x="87"/>
        <item x="85"/>
        <item x="39"/>
        <item x="23"/>
        <item x="51"/>
        <item x="33"/>
        <item x="20"/>
        <item x="9"/>
        <item x="43"/>
        <item x="83"/>
        <item x="54"/>
        <item x="78"/>
        <item x="68"/>
        <item x="49"/>
        <item x="17"/>
        <item x="32"/>
        <item x="44"/>
        <item x="95"/>
        <item x="31"/>
        <item x="90"/>
        <item x="40"/>
        <item x="97"/>
        <item x="53"/>
        <item x="61"/>
        <item x="8"/>
        <item x="37"/>
        <item x="4"/>
        <item x="1"/>
        <item x="41"/>
        <item x="67"/>
        <item x="55"/>
        <item x="79"/>
        <item x="28"/>
        <item x="38"/>
        <item x="7"/>
        <item x="92"/>
        <item x="52"/>
        <item x="25"/>
        <item x="64"/>
        <item x="18"/>
        <item x="82"/>
        <item x="6"/>
        <item x="86"/>
        <item x="74"/>
        <item x="66"/>
        <item x="69"/>
        <item x="96"/>
        <item x="56"/>
        <item x="75"/>
        <item x="58"/>
        <item x="22"/>
        <item x="57"/>
        <item x="94"/>
        <item x="47"/>
        <item x="93"/>
        <item x="65"/>
        <item x="13"/>
        <item x="35"/>
        <item x="21"/>
        <item x="59"/>
        <item x="16"/>
        <item x="63"/>
        <item t="default"/>
      </items>
    </pivotField>
    <pivotField showAll="0"/>
    <pivotField numFmtId="164" showAll="0"/>
    <pivotField showAll="0"/>
    <pivotField showAll="0"/>
    <pivotField numFmtId="1" showAll="0"/>
    <pivotField numFmtId="1" showAll="0"/>
    <pivotField showAll="0"/>
    <pivotField showAll="0"/>
    <pivotField showAll="0"/>
    <pivotField axis="axisRow" showAll="0">
      <items count="13">
        <item x="0"/>
        <item x="1"/>
        <item x="2"/>
        <item x="3"/>
        <item x="4"/>
        <item x="5"/>
        <item x="6"/>
        <item x="7"/>
        <item x="8"/>
        <item x="9"/>
        <item x="10"/>
        <item x="11"/>
        <item t="default"/>
      </items>
    </pivotField>
  </pivotFields>
  <rowFields count="1">
    <field x="17"/>
  </rowFields>
  <rowItems count="11">
    <i>
      <x v="1"/>
    </i>
    <i>
      <x v="2"/>
    </i>
    <i>
      <x v="3"/>
    </i>
    <i>
      <x v="4"/>
    </i>
    <i>
      <x v="5"/>
    </i>
    <i>
      <x v="6"/>
    </i>
    <i>
      <x v="7"/>
    </i>
    <i>
      <x v="8"/>
    </i>
    <i>
      <x v="9"/>
    </i>
    <i>
      <x v="10"/>
    </i>
    <i t="grand">
      <x/>
    </i>
  </rowItems>
  <colItems count="1">
    <i/>
  </colItems>
  <dataFields count="1">
    <dataField name="Count of Employe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8FFDCD-C79C-4304-8FE9-A7ED7A168865}" name="PivotTable11"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D5" firstHeaderRow="1" firstDataRow="2" firstDataCol="1"/>
  <pivotFields count="3">
    <pivotField dataField="1" subtotalTop="0" showAll="0" defaultSubtotal="0"/>
    <pivotField axis="axisCol" allDrilled="1" showAll="0" dataSourceSort="1" defaultAttributeDrillState="1">
      <items count="3">
        <item x="0"/>
        <item x="1"/>
        <item t="default"/>
      </items>
    </pivotField>
    <pivotField allDrilled="1" subtotalTop="0" showAll="0" dataSourceSort="1" defaultSubtotal="0" defaultAttributeDrillState="1"/>
  </pivotFields>
  <rowItems count="1">
    <i/>
  </rowItems>
  <colFields count="1">
    <field x="1"/>
  </colFields>
  <colItems count="3">
    <i>
      <x/>
    </i>
    <i>
      <x v="1"/>
    </i>
    <i t="grand">
      <x/>
    </i>
  </colItems>
  <dataFields count="1">
    <dataField name="Count of Gender" fld="0" subtotal="count" baseField="0" baseItem="0"/>
  </dataFields>
  <pivotHierarchies count="4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employee_dataset.csv!EmpData">
        <x15:activeTabTopLevelEntity name="[Emp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BEBFAD-E68A-46E6-8DBE-77DEBF8AE1EA}"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G9" firstHeaderRow="1" firstDataRow="2" firstDataCol="1"/>
  <pivotFields count="18">
    <pivotField showAll="0"/>
    <pivotField showAll="0"/>
    <pivotField showAll="0"/>
    <pivotField axis="axisCol" dataField="1" showAll="0">
      <items count="3">
        <item x="1"/>
        <item x="0"/>
        <item t="default"/>
      </items>
    </pivotField>
    <pivotField numFmtId="1" showAll="0"/>
    <pivotField showAll="0"/>
    <pivotField showAll="0"/>
    <pivotField numFmtId="14" showAll="0">
      <items count="101">
        <item x="71"/>
        <item x="42"/>
        <item x="48"/>
        <item x="50"/>
        <item x="24"/>
        <item x="62"/>
        <item x="84"/>
        <item x="89"/>
        <item x="36"/>
        <item x="29"/>
        <item x="76"/>
        <item x="27"/>
        <item x="2"/>
        <item x="46"/>
        <item x="15"/>
        <item x="0"/>
        <item x="73"/>
        <item x="60"/>
        <item x="5"/>
        <item x="11"/>
        <item x="70"/>
        <item x="77"/>
        <item x="3"/>
        <item x="14"/>
        <item x="99"/>
        <item x="98"/>
        <item x="30"/>
        <item x="26"/>
        <item x="72"/>
        <item x="12"/>
        <item x="91"/>
        <item x="80"/>
        <item x="19"/>
        <item x="88"/>
        <item x="45"/>
        <item x="34"/>
        <item x="81"/>
        <item x="10"/>
        <item x="87"/>
        <item x="85"/>
        <item x="39"/>
        <item x="23"/>
        <item x="51"/>
        <item x="33"/>
        <item x="20"/>
        <item x="9"/>
        <item x="43"/>
        <item x="83"/>
        <item x="54"/>
        <item x="78"/>
        <item x="68"/>
        <item x="49"/>
        <item x="17"/>
        <item x="32"/>
        <item x="44"/>
        <item x="95"/>
        <item x="31"/>
        <item x="90"/>
        <item x="40"/>
        <item x="97"/>
        <item x="53"/>
        <item x="61"/>
        <item x="8"/>
        <item x="37"/>
        <item x="4"/>
        <item x="1"/>
        <item x="41"/>
        <item x="67"/>
        <item x="55"/>
        <item x="79"/>
        <item x="28"/>
        <item x="38"/>
        <item x="7"/>
        <item x="92"/>
        <item x="52"/>
        <item x="25"/>
        <item x="64"/>
        <item x="18"/>
        <item x="82"/>
        <item x="6"/>
        <item x="86"/>
        <item x="74"/>
        <item x="66"/>
        <item x="69"/>
        <item x="96"/>
        <item x="56"/>
        <item x="75"/>
        <item x="58"/>
        <item x="22"/>
        <item x="57"/>
        <item x="94"/>
        <item x="47"/>
        <item x="93"/>
        <item x="65"/>
        <item x="13"/>
        <item x="35"/>
        <item x="21"/>
        <item x="59"/>
        <item x="16"/>
        <item x="63"/>
        <item t="default"/>
      </items>
    </pivotField>
    <pivotField showAll="0"/>
    <pivotField numFmtId="164" showAll="0"/>
    <pivotField showAll="0"/>
    <pivotField showAll="0"/>
    <pivotField numFmtId="1" showAll="0"/>
    <pivotField numFmtId="1" showAll="0"/>
    <pivotField showAll="0"/>
    <pivotField showAll="0"/>
    <pivotField showAll="0"/>
    <pivotField showAll="0" defaultSubtotal="0">
      <items count="12">
        <item x="0"/>
        <item x="1"/>
        <item x="2"/>
        <item x="3"/>
        <item x="4"/>
        <item x="5"/>
        <item x="6"/>
        <item x="7"/>
        <item x="8"/>
        <item x="9"/>
        <item x="10"/>
        <item x="11"/>
      </items>
    </pivotField>
  </pivotFields>
  <rowItems count="1">
    <i/>
  </rowItems>
  <colFields count="1">
    <field x="3"/>
  </colFields>
  <colItems count="3">
    <i>
      <x/>
    </i>
    <i>
      <x v="1"/>
    </i>
    <i t="grand">
      <x/>
    </i>
  </colItems>
  <dataFields count="1">
    <dataField name="Count of Gender"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48A26E-4CCE-45E8-9E93-4E1063594FE2}" name="PivotTable3" cacheId="17" applyNumberFormats="0" applyBorderFormats="0" applyFontFormats="0" applyPatternFormats="0" applyAlignmentFormats="0" applyWidthHeightFormats="1" dataCaption="Values" updatedVersion="8" minRefreshableVersion="3" showDrill="0" useAutoFormatting="1" subtotalHiddenItems="1" itemPrintTitles="1" createdVersion="8" indent="0" showHeaders="0" outline="1" outlineData="1" multipleFieldFilters="0">
  <location ref="A3:D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Status" fld="2" subtotal="count" baseField="0" baseItem="0"/>
    <dataField name="Average of Age" fld="3" subtotal="average" baseField="0" baseItem="1" numFmtId="165"/>
    <dataField name="Average of Salary" fld="1" subtotal="average" baseField="0" baseItem="1" numFmtId="44"/>
    <dataField name="Count of Employee_ID" fld="0" subtotal="count" baseField="0" baseItem="0"/>
  </dataFields>
  <formats count="3">
    <format dxfId="10">
      <pivotArea dataOnly="0" labelOnly="1" outline="0" fieldPosition="0">
        <references count="1">
          <reference field="4294967294" count="1">
            <x v="2"/>
          </reference>
        </references>
      </pivotArea>
    </format>
    <format dxfId="9">
      <pivotArea outline="0" collapsedLevelsAreSubtotals="1" fieldPosition="0">
        <references count="1">
          <reference field="4294967294" count="1" selected="0">
            <x v="2"/>
          </reference>
        </references>
      </pivotArea>
    </format>
    <format dxfId="8">
      <pivotArea outline="0" collapsedLevelsAreSubtotals="1" fieldPosition="0">
        <references count="1">
          <reference field="4294967294" count="1" selected="0">
            <x v="1"/>
          </reference>
        </references>
      </pivotArea>
    </format>
  </formats>
  <pivotHierarchies count="4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EmpData].[Tenure_Category].&amp;[Experience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caption="Count of Attrition Rate"/>
    <pivotHierarchy dragToData="1"/>
    <pivotHierarchy dragToData="1"/>
    <pivotHierarchy dragToData="1" caption="Average of Age"/>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Data]"/>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E13CAA0-8802-4210-BB92-F4373ECA8445}" name="PivotTable13"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Employee_ID" fld="0" subtotal="count" showDataAs="percentOfTotal" baseField="0" baseItem="0" numFmtId="9"/>
  </dataFields>
  <formats count="1">
    <format dxfId="7">
      <pivotArea outline="0" collapsedLevelsAreSubtotals="1" fieldPosition="0"/>
    </format>
  </formats>
  <pivotHierarchies count="4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employee_dataset.csv!EmpData">
        <x15:activeTabTopLevelEntity name="[Emp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C99593-0106-433A-920D-F6D8B010E08B}" name="PivotTable2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14:D19" firstHeaderRow="1" firstDataRow="1" firstDataCol="1" rowPageCount="1" colPageCount="1"/>
  <pivotFields count="18">
    <pivotField dataField="1" showAll="0"/>
    <pivotField showAll="0"/>
    <pivotField showAll="0"/>
    <pivotField showAll="0"/>
    <pivotField numFmtId="1" showAll="0">
      <items count="33">
        <item x="12"/>
        <item x="30"/>
        <item x="27"/>
        <item x="14"/>
        <item x="28"/>
        <item x="5"/>
        <item x="26"/>
        <item x="11"/>
        <item x="22"/>
        <item x="7"/>
        <item x="0"/>
        <item x="13"/>
        <item x="18"/>
        <item x="1"/>
        <item x="17"/>
        <item x="8"/>
        <item x="3"/>
        <item x="9"/>
        <item x="29"/>
        <item x="24"/>
        <item x="15"/>
        <item x="19"/>
        <item x="10"/>
        <item x="6"/>
        <item x="23"/>
        <item x="4"/>
        <item x="16"/>
        <item x="31"/>
        <item x="2"/>
        <item x="25"/>
        <item x="20"/>
        <item x="21"/>
        <item t="default"/>
      </items>
    </pivotField>
    <pivotField showAll="0"/>
    <pivotField showAll="0"/>
    <pivotField numFmtId="14" showAll="0">
      <items count="101">
        <item x="71"/>
        <item x="42"/>
        <item x="48"/>
        <item x="50"/>
        <item x="24"/>
        <item x="62"/>
        <item x="84"/>
        <item x="89"/>
        <item x="36"/>
        <item x="29"/>
        <item x="76"/>
        <item x="27"/>
        <item x="2"/>
        <item x="46"/>
        <item x="15"/>
        <item x="0"/>
        <item x="73"/>
        <item x="60"/>
        <item x="5"/>
        <item x="11"/>
        <item x="70"/>
        <item x="77"/>
        <item x="3"/>
        <item x="14"/>
        <item x="99"/>
        <item x="98"/>
        <item x="30"/>
        <item x="26"/>
        <item x="72"/>
        <item x="12"/>
        <item x="91"/>
        <item x="80"/>
        <item x="19"/>
        <item x="88"/>
        <item x="45"/>
        <item x="34"/>
        <item x="81"/>
        <item x="10"/>
        <item x="87"/>
        <item x="85"/>
        <item x="39"/>
        <item x="23"/>
        <item x="51"/>
        <item x="33"/>
        <item x="20"/>
        <item x="9"/>
        <item x="43"/>
        <item x="83"/>
        <item x="54"/>
        <item x="78"/>
        <item x="68"/>
        <item x="49"/>
        <item x="17"/>
        <item x="32"/>
        <item x="44"/>
        <item x="95"/>
        <item x="31"/>
        <item x="90"/>
        <item x="40"/>
        <item x="97"/>
        <item x="53"/>
        <item x="61"/>
        <item x="8"/>
        <item x="37"/>
        <item x="4"/>
        <item x="1"/>
        <item x="41"/>
        <item x="67"/>
        <item x="55"/>
        <item x="79"/>
        <item x="28"/>
        <item x="38"/>
        <item x="7"/>
        <item x="92"/>
        <item x="52"/>
        <item x="25"/>
        <item x="64"/>
        <item x="18"/>
        <item x="82"/>
        <item x="6"/>
        <item x="86"/>
        <item x="74"/>
        <item x="66"/>
        <item x="69"/>
        <item x="96"/>
        <item x="56"/>
        <item x="75"/>
        <item x="58"/>
        <item x="22"/>
        <item x="57"/>
        <item x="94"/>
        <item x="47"/>
        <item x="93"/>
        <item x="65"/>
        <item x="13"/>
        <item x="35"/>
        <item x="21"/>
        <item x="59"/>
        <item x="16"/>
        <item x="63"/>
        <item t="default"/>
      </items>
    </pivotField>
    <pivotField showAll="0"/>
    <pivotField numFmtId="164" showAll="0"/>
    <pivotField showAll="0"/>
    <pivotField showAll="0"/>
    <pivotField numFmtId="1" showAll="0"/>
    <pivotField numFmtId="1" showAll="0">
      <items count="7">
        <item x="0"/>
        <item x="1"/>
        <item x="2"/>
        <item x="3"/>
        <item x="4"/>
        <item x="5"/>
        <item t="default"/>
      </items>
    </pivotField>
    <pivotField axis="axisPage" showAll="0">
      <items count="3">
        <item x="0"/>
        <item x="1"/>
        <item t="default"/>
      </items>
    </pivotField>
    <pivotField showAll="0">
      <items count="5">
        <item x="0"/>
        <item x="2"/>
        <item x="1"/>
        <item x="3"/>
        <item t="default"/>
      </items>
    </pivotField>
    <pivotField axis="axisRow" showAll="0">
      <items count="5">
        <item x="0"/>
        <item x="2"/>
        <item x="1"/>
        <item x="3"/>
        <item t="default"/>
      </items>
    </pivotField>
    <pivotField showAll="0">
      <items count="13">
        <item x="0"/>
        <item x="1"/>
        <item x="2"/>
        <item x="3"/>
        <item x="4"/>
        <item x="5"/>
        <item x="6"/>
        <item x="7"/>
        <item x="8"/>
        <item x="9"/>
        <item x="10"/>
        <item x="11"/>
        <item t="default"/>
      </items>
    </pivotField>
  </pivotFields>
  <rowFields count="1">
    <field x="16"/>
  </rowFields>
  <rowItems count="5">
    <i>
      <x/>
    </i>
    <i>
      <x v="1"/>
    </i>
    <i>
      <x v="2"/>
    </i>
    <i>
      <x v="3"/>
    </i>
    <i t="grand">
      <x/>
    </i>
  </rowItems>
  <colItems count="1">
    <i/>
  </colItems>
  <pageFields count="1">
    <pageField fld="14" item="1" hier="-1"/>
  </pageFields>
  <dataFields count="1">
    <dataField name="Count of Employee_ID" fld="0" subtotal="count" baseField="0" baseItem="0"/>
  </dataFields>
  <chartFormats count="2">
    <chartFormat chart="7"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50CD4D9-ED69-48F1-9B89-AA0EA162015A}" name="PivotTable1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3:H30" firstHeaderRow="1" firstDataRow="1" firstDataCol="0"/>
  <pivotFields count="18">
    <pivotField showAll="0"/>
    <pivotField showAll="0"/>
    <pivotField showAll="0"/>
    <pivotField showAll="0"/>
    <pivotField numFmtId="1" showAll="0"/>
    <pivotField showAll="0"/>
    <pivotField showAll="0"/>
    <pivotField numFmtId="14" showAll="0">
      <items count="101">
        <item x="71"/>
        <item x="42"/>
        <item x="48"/>
        <item x="50"/>
        <item x="24"/>
        <item x="62"/>
        <item x="84"/>
        <item x="89"/>
        <item x="36"/>
        <item x="29"/>
        <item x="76"/>
        <item x="27"/>
        <item x="2"/>
        <item x="46"/>
        <item x="15"/>
        <item x="0"/>
        <item x="73"/>
        <item x="60"/>
        <item x="5"/>
        <item x="11"/>
        <item x="70"/>
        <item x="77"/>
        <item x="3"/>
        <item x="14"/>
        <item x="99"/>
        <item x="98"/>
        <item x="30"/>
        <item x="26"/>
        <item x="72"/>
        <item x="12"/>
        <item x="91"/>
        <item x="80"/>
        <item x="19"/>
        <item x="88"/>
        <item x="45"/>
        <item x="34"/>
        <item x="81"/>
        <item x="10"/>
        <item x="87"/>
        <item x="85"/>
        <item x="39"/>
        <item x="23"/>
        <item x="51"/>
        <item x="33"/>
        <item x="20"/>
        <item x="9"/>
        <item x="43"/>
        <item x="83"/>
        <item x="54"/>
        <item x="78"/>
        <item x="68"/>
        <item x="49"/>
        <item x="17"/>
        <item x="32"/>
        <item x="44"/>
        <item x="95"/>
        <item x="31"/>
        <item x="90"/>
        <item x="40"/>
        <item x="97"/>
        <item x="53"/>
        <item x="61"/>
        <item x="8"/>
        <item x="37"/>
        <item x="4"/>
        <item x="1"/>
        <item x="41"/>
        <item x="67"/>
        <item x="55"/>
        <item x="79"/>
        <item x="28"/>
        <item x="38"/>
        <item x="7"/>
        <item x="92"/>
        <item x="52"/>
        <item x="25"/>
        <item x="64"/>
        <item x="18"/>
        <item x="82"/>
        <item x="6"/>
        <item x="86"/>
        <item x="74"/>
        <item x="66"/>
        <item x="69"/>
        <item x="96"/>
        <item x="56"/>
        <item x="75"/>
        <item x="58"/>
        <item x="22"/>
        <item x="57"/>
        <item x="94"/>
        <item x="47"/>
        <item x="93"/>
        <item x="65"/>
        <item x="13"/>
        <item x="35"/>
        <item x="21"/>
        <item x="59"/>
        <item x="16"/>
        <item x="63"/>
        <item t="default"/>
      </items>
    </pivotField>
    <pivotField showAll="0"/>
    <pivotField numFmtId="164" showAll="0"/>
    <pivotField showAll="0"/>
    <pivotField showAll="0"/>
    <pivotField numFmtId="1" showAll="0"/>
    <pivotField numFmtId="1" showAll="0"/>
    <pivotField showAll="0"/>
    <pivotField showAll="0"/>
    <pivotField showAll="0"/>
    <pivotField showAll="0" defaultSubtotal="0">
      <items count="12">
        <item x="0"/>
        <item x="1"/>
        <item x="2"/>
        <item x="3"/>
        <item x="4"/>
        <item x="5"/>
        <item x="6"/>
        <item x="7"/>
        <item x="8"/>
        <item x="9"/>
        <item x="10"/>
        <item x="11"/>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C76CF49-AD6A-4BCC-9818-AE20E9154A6B}" sourceName="[EmpData].[Status]">
  <pivotTables>
    <pivotTable tabId="12" name="PivotTable14"/>
    <pivotTable tabId="11" name="PivotTable13"/>
    <pivotTable tabId="4" name="PivotTable2"/>
    <pivotTable tabId="9" name="PivotTable11"/>
    <pivotTable tabId="6" name="PivotTable4"/>
    <pivotTable tabId="17" name="PivotTable3"/>
    <pivotTable tabId="20" name="PivotTable11"/>
  </pivotTables>
  <data>
    <olap pivotCacheId="258738560">
      <levels count="2">
        <level uniqueName="[EmpData].[Status].[(All)]" sourceCaption="(All)" count="0"/>
        <level uniqueName="[EmpData].[Status].[Status]" sourceCaption="Status" count="2">
          <ranges>
            <range startItem="0">
              <i n="[EmpData].[Status].&amp;[Active]" c="Active"/>
              <i n="[EmpData].[Status].&amp;[Exited]" c="Exited"/>
            </range>
          </ranges>
        </level>
      </levels>
      <selections count="1">
        <selection n="[EmpData].[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A5497AB-01C4-4DA5-92C5-7762271F8969}" sourceName="[EmpData].[Age_Group]">
  <pivotTables>
    <pivotTable tabId="12" name="PivotTable14"/>
    <pivotTable tabId="11" name="PivotTable13"/>
    <pivotTable tabId="4" name="PivotTable2"/>
    <pivotTable tabId="9" name="PivotTable11"/>
    <pivotTable tabId="6" name="PivotTable4"/>
    <pivotTable tabId="17" name="PivotTable3"/>
    <pivotTable tabId="20" name="PivotTable11"/>
    <pivotTable tabId="22" name="PivotTable13"/>
  </pivotTables>
  <data>
    <olap pivotCacheId="258738560">
      <levels count="2">
        <level uniqueName="[EmpData].[Age_Group].[(All)]" sourceCaption="(All)" count="0"/>
        <level uniqueName="[EmpData].[Age_Group].[Age_Group]" sourceCaption="Age_Group" count="4">
          <ranges>
            <range startItem="0">
              <i n="[EmpData].[Age_Group].&amp;[30-39]" c="30-39"/>
              <i n="[EmpData].[Age_Group].&amp;[40-49]" c="40-49"/>
              <i n="[EmpData].[Age_Group].&amp;[50+]" c="50+"/>
              <i n="[EmpData].[Age_Group].&amp;[Under 30]" c="Under 30"/>
            </range>
          </ranges>
        </level>
      </levels>
      <selections count="1">
        <selection n="[EmpData].[Age_Grou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46F6A4FC-301A-4B00-9072-1E2E895F877A}" sourceName="[EmpData].[Gender]">
  <pivotTables>
    <pivotTable tabId="17" name="PivotTable3"/>
    <pivotTable tabId="6" name="PivotTable4"/>
    <pivotTable tabId="9" name="PivotTable11"/>
    <pivotTable tabId="4" name="PivotTable2"/>
    <pivotTable tabId="11" name="PivotTable13"/>
    <pivotTable tabId="12" name="PivotTable14"/>
    <pivotTable tabId="20" name="PivotTable11"/>
    <pivotTable tabId="22" name="PivotTable13"/>
  </pivotTables>
  <data>
    <olap pivotCacheId="258738560">
      <levels count="2">
        <level uniqueName="[EmpData].[Gender].[(All)]" sourceCaption="(All)" count="0"/>
        <level uniqueName="[EmpData].[Gender].[Gender]" sourceCaption="Gender" count="2">
          <ranges>
            <range startItem="0">
              <i n="[EmpData].[Gender].&amp;[Female]" c="Female"/>
              <i n="[EmpData].[Gender].&amp;[Male]" c="Male"/>
            </range>
          </ranges>
        </level>
      </levels>
      <selections count="1">
        <selection n="[EmpData].[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866C024-5F56-4DE9-A9A2-5B4AA4EE5857}" sourceName="[EmpData].[Department]">
  <pivotTables>
    <pivotTable tabId="12" name="PivotTable14"/>
    <pivotTable tabId="11" name="PivotTable13"/>
    <pivotTable tabId="4" name="PivotTable2"/>
    <pivotTable tabId="9" name="PivotTable11"/>
    <pivotTable tabId="20" name="PivotTable11"/>
    <pivotTable tabId="6" name="PivotTable4"/>
    <pivotTable tabId="17" name="PivotTable3"/>
    <pivotTable tabId="22" name="PivotTable13"/>
  </pivotTables>
  <data>
    <olap pivotCacheId="258738560">
      <levels count="2">
        <level uniqueName="[EmpData].[Department].[(All)]" sourceCaption="(All)" count="0"/>
        <level uniqueName="[EmpData].[Department].[Department]" sourceCaption="Department" count="7">
          <ranges>
            <range startItem="0">
              <i n="[EmpData].[Department].&amp;[Customer Service]" c="Customer Service"/>
              <i n="[EmpData].[Department].&amp;[Finance]" c="Finance"/>
              <i n="[EmpData].[Department].&amp;[HR]" c="HR"/>
              <i n="[EmpData].[Department].&amp;[IT]" c="IT"/>
              <i n="[EmpData].[Department].&amp;[Marketing]" c="Marketing"/>
              <i n="[EmpData].[Department].&amp;[Operations]" c="Operations"/>
              <i n="[EmpData].[Department].&amp;[Sales]" c="Sales"/>
            </range>
          </ranges>
        </level>
      </levels>
      <selections count="1">
        <selection n="[EmpData].[Departm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5BFD0AEA-0BC0-44EE-95F6-780246EC107E}" sourceName="[EmpData].[Employment_Type]">
  <pivotTables>
    <pivotTable tabId="12" name="PivotTable14"/>
    <pivotTable tabId="11" name="PivotTable13"/>
    <pivotTable tabId="4" name="PivotTable2"/>
    <pivotTable tabId="9" name="PivotTable11"/>
    <pivotTable tabId="6" name="PivotTable4"/>
    <pivotTable tabId="17" name="PivotTable3"/>
    <pivotTable tabId="20" name="PivotTable11"/>
    <pivotTable tabId="22" name="PivotTable13"/>
  </pivotTables>
  <data>
    <olap pivotCacheId="258738560">
      <levels count="2">
        <level uniqueName="[EmpData].[Employment_Type].[(All)]" sourceCaption="(All)" count="0"/>
        <level uniqueName="[EmpData].[Employment_Type].[Employment_Type]" sourceCaption="Employment_Type" count="3">
          <ranges>
            <range startItem="0">
              <i n="[EmpData].[Employment_Type].&amp;[Contract]" c="Contract"/>
              <i n="[EmpData].[Employment_Type].&amp;[Full-time]" c="Full-time"/>
              <i n="[EmpData].[Employment_Type].&amp;[Part-time]" c="Part-time"/>
            </range>
          </ranges>
        </level>
      </levels>
      <selections count="1">
        <selection n="[EmpData].[Employment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224D5D13-D5BF-45C4-8180-81F8FF0CDC56}" cache="Slicer_Status" caption="Status" level="1" rowHeight="241300"/>
  <slicer name="Age_Group" xr10:uid="{6947821D-BAEC-4F4E-96BF-96F15CEDCD07}" cache="Slicer_Age_Group" caption="Age_Group" level="1" rowHeight="241300"/>
  <slicer name="Gender" xr10:uid="{9483951C-B799-4BB5-AF31-352B6776C8B7}" cache="Slicer_Gender1" caption="Gender" level="1" rowHeight="241300"/>
  <slicer name="Department" xr10:uid="{2F179AF5-12DB-4DD0-A33C-B900D78F6F04}" cache="Slicer_Department" caption="Department" level="1" rowHeight="241300"/>
  <slicer name="Employment_Type" xr10:uid="{07716412-C893-46C4-B6FF-28E0A95554F2}" cache="Slicer_Employment_Type" caption="Employment_Type"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E2CA69-9581-4F4D-955F-287E923175B9}" name="EmpData" displayName="EmpData" ref="A1:Q101" totalsRowShown="0">
  <autoFilter ref="A1:Q101" xr:uid="{6DE2CA69-9581-4F4D-955F-287E923175B9}"/>
  <tableColumns count="17">
    <tableColumn id="1" xr3:uid="{217FEA6C-9678-4F72-B333-657A9E6BBC24}" name="Employee_ID" dataDxfId="37" totalsRowDxfId="36"/>
    <tableColumn id="2" xr3:uid="{FDB48C75-4A50-490C-BBCC-F9CB12974B0D}" name="First_Name" dataDxfId="35" totalsRowDxfId="34"/>
    <tableColumn id="3" xr3:uid="{00C8CD16-F2FD-4D94-9220-423C40A6B657}" name="Last_Name" dataDxfId="33" totalsRowDxfId="32"/>
    <tableColumn id="4" xr3:uid="{61AD2B22-51AF-463D-AE43-08B6BE4B6DA4}" name="Gender" dataDxfId="31" totalsRowDxfId="30"/>
    <tableColumn id="5" xr3:uid="{91CAFF54-6DD0-4DCC-9D8B-FFF9B28D2E39}" name="Age" dataDxfId="29" totalsRowDxfId="28"/>
    <tableColumn id="6" xr3:uid="{063B1144-4972-41BD-9E14-1C51C4061907}" name="Department" dataDxfId="27" totalsRowDxfId="26"/>
    <tableColumn id="7" xr3:uid="{D7DE27CF-A0C1-493D-80F5-9556385723EE}" name="Job_Title" dataDxfId="25" totalsRowDxfId="24"/>
    <tableColumn id="8" xr3:uid="{46A74991-B529-46A4-87B4-28D1B77D8D95}" name="Hire_Date" dataDxfId="23" totalsRowDxfId="22"/>
    <tableColumn id="9" xr3:uid="{E4EFC0EE-F602-40AE-9088-EF8618F90713}" name="Exit_Date" dataDxfId="21" totalsRowDxfId="20"/>
    <tableColumn id="10" xr3:uid="{6AF448C0-DA20-4D87-8FB5-DD13B22962C3}" name="Salary" dataDxfId="19" totalsRowDxfId="18"/>
    <tableColumn id="11" xr3:uid="{A24C8F40-CE80-4181-AEA1-810FBE4A1838}" name="Location" dataDxfId="17" totalsRowDxfId="16"/>
    <tableColumn id="12" xr3:uid="{9EE781D3-FACF-477A-9FCF-A2564D09B289}" name="Employment_Type" dataDxfId="15" totalsRowDxfId="14"/>
    <tableColumn id="13" xr3:uid="{C3C88909-A688-4B40-B51C-4C368A6495E0}" name="Performance_Score" dataDxfId="13" totalsRowDxfId="12"/>
    <tableColumn id="14" xr3:uid="{E4D46BC2-1C12-4215-831E-9137FAC7D259}" name="Tenure(Years)" dataDxfId="11">
      <calculatedColumnFormula>DATEDIF(EmpData[Hire_Date], IF(EmpData[Exit_Date]="", TODAY(), EmpData[Exit_Date]), "Y")</calculatedColumnFormula>
    </tableColumn>
    <tableColumn id="15" xr3:uid="{579F06F2-0FD7-4D40-B787-91CF9F1D1BB5}" name="Status">
      <calculatedColumnFormula>IF(EmpData[Exit_Date]="","Active","Exited")</calculatedColumnFormula>
    </tableColumn>
    <tableColumn id="16" xr3:uid="{E7AF7998-8952-4A02-B7C9-5AA03640EC3B}" name="Tenure_Category">
      <calculatedColumnFormula>_xlfn.IFS(
EmpData[Tenure(Years)] &lt; 2,"New Staff",
EmpData[Tenure(Years)] &lt; 5,"Intermediate",
EmpData[Tenure(Years)] &lt; 10,"Experienced",
TRUE,"Veteran"
)</calculatedColumnFormula>
    </tableColumn>
    <tableColumn id="17" xr3:uid="{1F3D0A73-D616-467E-B176-755600C790F4}" name="Age_Group ">
      <calculatedColumnFormula>IF(EmpData[[#This Row],[Age]] &lt; 30, "Under 30",
    IF(EmpData[[#This Row],[Age]] &lt; 40, "30-39",
        IF(EmpData[[#This Row],[Age]] &lt; 50, "40-49",
            "50+"
        )
    )
)</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728C7E-EAB4-4243-80F3-7DCDB1B36C29}" name="Table2" displayName="Table2" ref="D1:G8" totalsRowShown="0" headerRowDxfId="6">
  <autoFilter ref="D1:G8" xr:uid="{D8728C7E-EAB4-4243-80F3-7DCDB1B36C29}"/>
  <tableColumns count="4">
    <tableColumn id="1" xr3:uid="{4E1BD37D-8ACB-4D3F-80D3-D91895F55DDA}" name="Department"/>
    <tableColumn id="2" xr3:uid="{75CA840B-1D07-4CC2-97B0-4C13C6F42E64}" name="Exited" dataDxfId="5">
      <calculatedColumnFormula>COUNTIFS(EmpData[Department], D2, EmpData[Status], "Exited")</calculatedColumnFormula>
    </tableColumn>
    <tableColumn id="3" xr3:uid="{54F926D3-74B9-45FF-A05E-4EAC1C064E87}" name="Total Department Headcount">
      <calculatedColumnFormula>COUNTIF(EmpData[Department],D2)</calculatedColumnFormula>
    </tableColumn>
    <tableColumn id="4" xr3:uid="{3C8EF981-3415-4556-A895-2B5CFFAFC759}" name="Attrition Rate" dataDxfId="4" dataCellStyle="Percent">
      <calculatedColumnFormula>E2/F2</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Extreme Shadow">
      <a:fillStyleLst>
        <a:solidFill>
          <a:schemeClr val="phClr"/>
        </a:solidFill>
        <a:gradFill rotWithShape="1">
          <a:gsLst>
            <a:gs pos="0">
              <a:schemeClr val="phClr">
                <a:tint val="90000"/>
              </a:schemeClr>
            </a:gs>
            <a:gs pos="48000">
              <a:schemeClr val="phClr">
                <a:tint val="54000"/>
                <a:satMod val="140000"/>
              </a:schemeClr>
            </a:gs>
            <a:gs pos="100000">
              <a:schemeClr val="phClr">
                <a:tint val="24000"/>
                <a:satMod val="260000"/>
              </a:schemeClr>
            </a:gs>
          </a:gsLst>
          <a:lin ang="16200000" scaled="1"/>
        </a:gradFill>
        <a:gradFill rotWithShape="1">
          <a:gsLst>
            <a:gs pos="0">
              <a:schemeClr val="phClr"/>
            </a:gs>
            <a:gs pos="100000">
              <a:schemeClr val="phClr">
                <a:shade val="48000"/>
                <a:satMod val="180000"/>
                <a:lumMod val="94000"/>
              </a:schemeClr>
            </a:gs>
            <a:gs pos="100000">
              <a:schemeClr val="phClr">
                <a:shade val="48000"/>
                <a:satMod val="180000"/>
                <a:lumMod val="94000"/>
              </a:schemeClr>
            </a:gs>
          </a:gsLst>
          <a:lin ang="4140000" scaled="1"/>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63500" dist="12700" dir="5400000" sx="102000" sy="102000" rotWithShape="0">
              <a:srgbClr val="000000">
                <a:alpha val="32000"/>
              </a:srgbClr>
            </a:outerShdw>
          </a:effectLst>
        </a:effectStyle>
        <a:effectStyle>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a:effectStyle>
        <a:effectStyle>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1AA6E-B143-4A8C-9185-4B86BB38D069}">
  <dimension ref="A3:D12"/>
  <sheetViews>
    <sheetView workbookViewId="0">
      <selection activeCell="E4" sqref="E4"/>
    </sheetView>
  </sheetViews>
  <sheetFormatPr defaultRowHeight="14.5" x14ac:dyDescent="0.35"/>
  <cols>
    <col min="1" max="1" width="19.7265625" bestFit="1" customWidth="1"/>
    <col min="2" max="2" width="15.26953125" bestFit="1" customWidth="1"/>
    <col min="3" max="3" width="5" bestFit="1" customWidth="1"/>
    <col min="4" max="4" width="10.7265625" bestFit="1" customWidth="1"/>
  </cols>
  <sheetData>
    <row r="3" spans="1:4" x14ac:dyDescent="0.35">
      <c r="A3" s="12" t="s">
        <v>203</v>
      </c>
      <c r="B3" s="12" t="s">
        <v>204</v>
      </c>
    </row>
    <row r="4" spans="1:4" x14ac:dyDescent="0.35">
      <c r="A4" s="12" t="s">
        <v>201</v>
      </c>
      <c r="B4" t="s">
        <v>29</v>
      </c>
      <c r="C4" t="s">
        <v>16</v>
      </c>
      <c r="D4" t="s">
        <v>202</v>
      </c>
    </row>
    <row r="5" spans="1:4" x14ac:dyDescent="0.35">
      <c r="A5" s="13" t="s">
        <v>37</v>
      </c>
      <c r="B5">
        <v>3</v>
      </c>
      <c r="C5">
        <v>7</v>
      </c>
      <c r="D5">
        <v>10</v>
      </c>
    </row>
    <row r="6" spans="1:4" x14ac:dyDescent="0.35">
      <c r="A6" s="13" t="s">
        <v>24</v>
      </c>
      <c r="B6">
        <v>5</v>
      </c>
      <c r="C6">
        <v>13</v>
      </c>
      <c r="D6">
        <v>18</v>
      </c>
    </row>
    <row r="7" spans="1:4" x14ac:dyDescent="0.35">
      <c r="A7" s="13" t="s">
        <v>68</v>
      </c>
      <c r="B7">
        <v>6</v>
      </c>
      <c r="C7">
        <v>4</v>
      </c>
      <c r="D7">
        <v>10</v>
      </c>
    </row>
    <row r="8" spans="1:4" x14ac:dyDescent="0.35">
      <c r="A8" s="13" t="s">
        <v>17</v>
      </c>
      <c r="B8">
        <v>6</v>
      </c>
      <c r="C8">
        <v>15</v>
      </c>
      <c r="D8">
        <v>21</v>
      </c>
    </row>
    <row r="9" spans="1:4" x14ac:dyDescent="0.35">
      <c r="A9" s="13" t="s">
        <v>58</v>
      </c>
      <c r="B9">
        <v>6</v>
      </c>
      <c r="C9">
        <v>7</v>
      </c>
      <c r="D9">
        <v>13</v>
      </c>
    </row>
    <row r="10" spans="1:4" x14ac:dyDescent="0.35">
      <c r="A10" s="13" t="s">
        <v>30</v>
      </c>
      <c r="B10">
        <v>7</v>
      </c>
      <c r="C10">
        <v>5</v>
      </c>
      <c r="D10">
        <v>12</v>
      </c>
    </row>
    <row r="11" spans="1:4" x14ac:dyDescent="0.35">
      <c r="A11" s="13" t="s">
        <v>46</v>
      </c>
      <c r="B11">
        <v>7</v>
      </c>
      <c r="C11">
        <v>9</v>
      </c>
      <c r="D11">
        <v>16</v>
      </c>
    </row>
    <row r="12" spans="1:4" x14ac:dyDescent="0.35">
      <c r="A12" s="13" t="s">
        <v>202</v>
      </c>
      <c r="B12">
        <v>40</v>
      </c>
      <c r="C12">
        <v>60</v>
      </c>
      <c r="D12">
        <v>100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51E26-6FCD-4AB2-91BA-EB46F8EA387D}">
  <dimension ref="A3:B11"/>
  <sheetViews>
    <sheetView workbookViewId="0">
      <selection activeCell="A3" sqref="A3"/>
    </sheetView>
  </sheetViews>
  <sheetFormatPr defaultRowHeight="14.5" x14ac:dyDescent="0.35"/>
  <cols>
    <col min="1" max="1" width="15.26953125" bestFit="1" customWidth="1"/>
    <col min="2" max="2" width="13.453125" style="9" bestFit="1" customWidth="1"/>
  </cols>
  <sheetData>
    <row r="3" spans="1:2" x14ac:dyDescent="0.35">
      <c r="A3" s="12" t="s">
        <v>201</v>
      </c>
      <c r="B3" s="14" t="s">
        <v>206</v>
      </c>
    </row>
    <row r="4" spans="1:2" x14ac:dyDescent="0.35">
      <c r="A4" s="13" t="s">
        <v>68</v>
      </c>
      <c r="B4" s="14">
        <v>1020355</v>
      </c>
    </row>
    <row r="5" spans="1:2" x14ac:dyDescent="0.35">
      <c r="A5" s="13" t="s">
        <v>37</v>
      </c>
      <c r="B5" s="14">
        <v>1233790</v>
      </c>
    </row>
    <row r="6" spans="1:2" x14ac:dyDescent="0.35">
      <c r="A6" s="13" t="s">
        <v>30</v>
      </c>
      <c r="B6" s="14">
        <v>1385070</v>
      </c>
    </row>
    <row r="7" spans="1:2" x14ac:dyDescent="0.35">
      <c r="A7" s="13" t="s">
        <v>58</v>
      </c>
      <c r="B7" s="14">
        <v>1493523</v>
      </c>
    </row>
    <row r="8" spans="1:2" x14ac:dyDescent="0.35">
      <c r="A8" s="13" t="s">
        <v>46</v>
      </c>
      <c r="B8" s="14">
        <v>1944118</v>
      </c>
    </row>
    <row r="9" spans="1:2" x14ac:dyDescent="0.35">
      <c r="A9" s="13" t="s">
        <v>24</v>
      </c>
      <c r="B9" s="14">
        <v>2344243</v>
      </c>
    </row>
    <row r="10" spans="1:2" x14ac:dyDescent="0.35">
      <c r="A10" s="13" t="s">
        <v>17</v>
      </c>
      <c r="B10" s="14">
        <v>2617528</v>
      </c>
    </row>
    <row r="11" spans="1:2" x14ac:dyDescent="0.35">
      <c r="A11" s="13" t="s">
        <v>202</v>
      </c>
      <c r="B11" s="14">
        <v>12038627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1320A-880E-4CFE-8C00-259C8E7403DE}">
  <dimension ref="A1:B7"/>
  <sheetViews>
    <sheetView workbookViewId="0">
      <selection activeCell="B3" sqref="B3"/>
    </sheetView>
  </sheetViews>
  <sheetFormatPr defaultRowHeight="14.5" x14ac:dyDescent="0.35"/>
  <cols>
    <col min="1" max="1" width="12.36328125" bestFit="1" customWidth="1"/>
    <col min="2" max="2" width="19.7265625" bestFit="1" customWidth="1"/>
  </cols>
  <sheetData>
    <row r="1" spans="1:2" x14ac:dyDescent="0.35">
      <c r="A1" s="12" t="s">
        <v>188</v>
      </c>
      <c r="B1" t="s" vm="1">
        <v>205</v>
      </c>
    </row>
    <row r="3" spans="1:2" x14ac:dyDescent="0.35">
      <c r="A3" s="12" t="s">
        <v>201</v>
      </c>
      <c r="B3" t="s">
        <v>203</v>
      </c>
    </row>
    <row r="4" spans="1:2" x14ac:dyDescent="0.35">
      <c r="A4" s="13" t="s">
        <v>48</v>
      </c>
      <c r="B4">
        <v>33</v>
      </c>
    </row>
    <row r="5" spans="1:2" x14ac:dyDescent="0.35">
      <c r="A5" s="13" t="s">
        <v>33</v>
      </c>
      <c r="B5">
        <v>28</v>
      </c>
    </row>
    <row r="6" spans="1:2" x14ac:dyDescent="0.35">
      <c r="A6" s="13" t="s">
        <v>20</v>
      </c>
      <c r="B6">
        <v>39</v>
      </c>
    </row>
    <row r="7" spans="1:2" x14ac:dyDescent="0.35">
      <c r="A7" s="13" t="s">
        <v>202</v>
      </c>
      <c r="B7">
        <v>100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FB463-74E9-40B9-BFBC-5B5FE035BAD4}">
  <dimension ref="A1:B11"/>
  <sheetViews>
    <sheetView workbookViewId="0">
      <selection activeCell="B3" sqref="B3"/>
    </sheetView>
  </sheetViews>
  <sheetFormatPr defaultRowHeight="14.5" x14ac:dyDescent="0.35"/>
  <cols>
    <col min="1" max="1" width="15.26953125" bestFit="1" customWidth="1"/>
    <col min="2" max="2" width="16.54296875" style="9" bestFit="1" customWidth="1"/>
  </cols>
  <sheetData>
    <row r="1" spans="1:2" x14ac:dyDescent="0.35">
      <c r="B1"/>
    </row>
    <row r="3" spans="1:2" x14ac:dyDescent="0.35">
      <c r="A3" s="12" t="s">
        <v>201</v>
      </c>
      <c r="B3" s="14" t="s">
        <v>222</v>
      </c>
    </row>
    <row r="4" spans="1:2" x14ac:dyDescent="0.35">
      <c r="A4" s="13" t="s">
        <v>68</v>
      </c>
      <c r="B4" s="14">
        <v>102035.5</v>
      </c>
    </row>
    <row r="5" spans="1:2" x14ac:dyDescent="0.35">
      <c r="A5" s="13" t="s">
        <v>58</v>
      </c>
      <c r="B5" s="14">
        <v>114886.38461538461</v>
      </c>
    </row>
    <row r="6" spans="1:2" x14ac:dyDescent="0.35">
      <c r="A6" s="13" t="s">
        <v>30</v>
      </c>
      <c r="B6" s="14">
        <v>115422.5</v>
      </c>
    </row>
    <row r="7" spans="1:2" x14ac:dyDescent="0.35">
      <c r="A7" s="13" t="s">
        <v>46</v>
      </c>
      <c r="B7" s="14">
        <v>121507.375</v>
      </c>
    </row>
    <row r="8" spans="1:2" x14ac:dyDescent="0.35">
      <c r="A8" s="13" t="s">
        <v>37</v>
      </c>
      <c r="B8" s="14">
        <v>123379</v>
      </c>
    </row>
    <row r="9" spans="1:2" x14ac:dyDescent="0.35">
      <c r="A9" s="13" t="s">
        <v>17</v>
      </c>
      <c r="B9" s="14">
        <v>124644.19047619047</v>
      </c>
    </row>
    <row r="10" spans="1:2" x14ac:dyDescent="0.35">
      <c r="A10" s="13" t="s">
        <v>24</v>
      </c>
      <c r="B10" s="14">
        <v>130235.72222222222</v>
      </c>
    </row>
    <row r="11" spans="1:2" x14ac:dyDescent="0.35">
      <c r="A11" s="13" t="s">
        <v>202</v>
      </c>
      <c r="B11" s="14">
        <v>120386.27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7F63F-2A17-42C5-A724-C06D8BCE9AD2}">
  <dimension ref="A1:B8"/>
  <sheetViews>
    <sheetView workbookViewId="0">
      <selection activeCell="E4" sqref="E4"/>
    </sheetView>
  </sheetViews>
  <sheetFormatPr defaultRowHeight="14.5" x14ac:dyDescent="0.35"/>
  <cols>
    <col min="1" max="1" width="12.36328125" bestFit="1" customWidth="1"/>
    <col min="2" max="2" width="19.7265625" bestFit="1" customWidth="1"/>
    <col min="3" max="3" width="7.1796875" bestFit="1" customWidth="1"/>
    <col min="4" max="4" width="3.1796875" bestFit="1" customWidth="1"/>
    <col min="5" max="5" width="2.81640625" bestFit="1" customWidth="1"/>
    <col min="6" max="6" width="9.453125" bestFit="1" customWidth="1"/>
    <col min="7" max="7" width="10.1796875" bestFit="1" customWidth="1"/>
    <col min="8" max="8" width="5" bestFit="1" customWidth="1"/>
    <col min="9" max="9" width="10.7265625" bestFit="1" customWidth="1"/>
  </cols>
  <sheetData>
    <row r="1" spans="1:2" x14ac:dyDescent="0.35">
      <c r="A1" s="12" t="s">
        <v>188</v>
      </c>
      <c r="B1" t="s" vm="1">
        <v>205</v>
      </c>
    </row>
    <row r="3" spans="1:2" x14ac:dyDescent="0.35">
      <c r="A3" s="12" t="s">
        <v>201</v>
      </c>
      <c r="B3" t="s">
        <v>203</v>
      </c>
    </row>
    <row r="4" spans="1:2" x14ac:dyDescent="0.35">
      <c r="A4" s="13" t="s">
        <v>218</v>
      </c>
      <c r="B4" s="6">
        <v>30</v>
      </c>
    </row>
    <row r="5" spans="1:2" x14ac:dyDescent="0.35">
      <c r="A5" s="13" t="s">
        <v>219</v>
      </c>
      <c r="B5" s="6">
        <v>40</v>
      </c>
    </row>
    <row r="6" spans="1:2" x14ac:dyDescent="0.35">
      <c r="A6" s="13" t="s">
        <v>220</v>
      </c>
      <c r="B6" s="6">
        <v>13</v>
      </c>
    </row>
    <row r="7" spans="1:2" x14ac:dyDescent="0.35">
      <c r="A7" s="13" t="s">
        <v>221</v>
      </c>
      <c r="B7" s="6">
        <v>17</v>
      </c>
    </row>
    <row r="8" spans="1:2" x14ac:dyDescent="0.35">
      <c r="A8" s="13" t="s">
        <v>202</v>
      </c>
      <c r="B8" s="6">
        <v>100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6C65A-9436-485C-9FF3-08CFD76C0A48}">
  <dimension ref="A3:B14"/>
  <sheetViews>
    <sheetView workbookViewId="0">
      <selection activeCell="J12" sqref="J12"/>
    </sheetView>
  </sheetViews>
  <sheetFormatPr defaultRowHeight="14.5" x14ac:dyDescent="0.35"/>
  <cols>
    <col min="1" max="1" width="12.36328125" bestFit="1" customWidth="1"/>
    <col min="2" max="2" width="19.7265625" bestFit="1" customWidth="1"/>
  </cols>
  <sheetData>
    <row r="3" spans="1:2" x14ac:dyDescent="0.35">
      <c r="A3" s="12" t="s">
        <v>201</v>
      </c>
      <c r="B3" t="s">
        <v>203</v>
      </c>
    </row>
    <row r="4" spans="1:2" x14ac:dyDescent="0.35">
      <c r="A4" s="13" t="s">
        <v>208</v>
      </c>
      <c r="B4">
        <v>15</v>
      </c>
    </row>
    <row r="5" spans="1:2" x14ac:dyDescent="0.35">
      <c r="A5" s="13" t="s">
        <v>209</v>
      </c>
      <c r="B5">
        <v>8</v>
      </c>
    </row>
    <row r="6" spans="1:2" x14ac:dyDescent="0.35">
      <c r="A6" s="13" t="s">
        <v>210</v>
      </c>
      <c r="B6">
        <v>7</v>
      </c>
    </row>
    <row r="7" spans="1:2" x14ac:dyDescent="0.35">
      <c r="A7" s="13" t="s">
        <v>211</v>
      </c>
      <c r="B7">
        <v>13</v>
      </c>
    </row>
    <row r="8" spans="1:2" x14ac:dyDescent="0.35">
      <c r="A8" s="13" t="s">
        <v>212</v>
      </c>
      <c r="B8">
        <v>15</v>
      </c>
    </row>
    <row r="9" spans="1:2" x14ac:dyDescent="0.35">
      <c r="A9" s="13" t="s">
        <v>213</v>
      </c>
      <c r="B9">
        <v>9</v>
      </c>
    </row>
    <row r="10" spans="1:2" x14ac:dyDescent="0.35">
      <c r="A10" s="13" t="s">
        <v>214</v>
      </c>
      <c r="B10">
        <v>11</v>
      </c>
    </row>
    <row r="11" spans="1:2" x14ac:dyDescent="0.35">
      <c r="A11" s="13" t="s">
        <v>215</v>
      </c>
      <c r="B11">
        <v>5</v>
      </c>
    </row>
    <row r="12" spans="1:2" x14ac:dyDescent="0.35">
      <c r="A12" s="13" t="s">
        <v>216</v>
      </c>
      <c r="B12">
        <v>8</v>
      </c>
    </row>
    <row r="13" spans="1:2" x14ac:dyDescent="0.35">
      <c r="A13" s="13" t="s">
        <v>217</v>
      </c>
      <c r="B13">
        <v>9</v>
      </c>
    </row>
    <row r="14" spans="1:2" x14ac:dyDescent="0.35">
      <c r="A14" s="13" t="s">
        <v>202</v>
      </c>
      <c r="B14">
        <v>100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CD953-290A-47EF-A7C3-2862F24E899E}">
  <dimension ref="A3:D5"/>
  <sheetViews>
    <sheetView workbookViewId="0">
      <selection activeCell="D5" sqref="D5"/>
    </sheetView>
  </sheetViews>
  <sheetFormatPr defaultRowHeight="14.5" x14ac:dyDescent="0.35"/>
  <cols>
    <col min="1" max="1" width="14.81640625" bestFit="1" customWidth="1"/>
    <col min="2" max="2" width="15.26953125" bestFit="1" customWidth="1"/>
    <col min="3" max="3" width="5" bestFit="1" customWidth="1"/>
    <col min="4" max="4" width="10.7265625" bestFit="1" customWidth="1"/>
  </cols>
  <sheetData>
    <row r="3" spans="1:4" x14ac:dyDescent="0.35">
      <c r="B3" s="12" t="s">
        <v>204</v>
      </c>
    </row>
    <row r="4" spans="1:4" x14ac:dyDescent="0.35">
      <c r="B4" t="s">
        <v>29</v>
      </c>
      <c r="C4" t="s">
        <v>16</v>
      </c>
      <c r="D4" t="s">
        <v>202</v>
      </c>
    </row>
    <row r="5" spans="1:4" x14ac:dyDescent="0.35">
      <c r="A5" t="s">
        <v>229</v>
      </c>
      <c r="B5">
        <v>40</v>
      </c>
      <c r="C5">
        <v>60</v>
      </c>
      <c r="D5">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5D9F7-5764-451A-A70D-082350B9E6F0}">
  <sheetPr>
    <tabColor rgb="FF00B0F0"/>
  </sheetPr>
  <dimension ref="A1:S101"/>
  <sheetViews>
    <sheetView topLeftCell="A2" workbookViewId="0">
      <selection activeCell="F9" sqref="F9"/>
    </sheetView>
  </sheetViews>
  <sheetFormatPr defaultRowHeight="14.5" x14ac:dyDescent="0.35"/>
  <cols>
    <col min="1" max="1" width="13.81640625" style="4" customWidth="1"/>
    <col min="2" max="2" width="12.36328125" style="2" customWidth="1"/>
    <col min="3" max="3" width="12.08984375" style="2" customWidth="1"/>
    <col min="4" max="4" width="9" style="2" customWidth="1"/>
    <col min="5" max="5" width="8.7265625" style="6"/>
    <col min="6" max="6" width="13.08984375" style="2" customWidth="1"/>
    <col min="7" max="7" width="18.1796875" style="2" bestFit="1" customWidth="1"/>
    <col min="8" max="8" width="11.26953125" style="1" customWidth="1"/>
    <col min="9" max="9" width="10.90625" style="1" customWidth="1"/>
    <col min="10" max="10" width="11.81640625" style="3" bestFit="1" customWidth="1"/>
    <col min="11" max="11" width="9.90625" customWidth="1"/>
    <col min="12" max="12" width="18.453125" style="2" customWidth="1"/>
    <col min="13" max="13" width="19.1796875" style="6" customWidth="1"/>
    <col min="14" max="14" width="14.81640625" customWidth="1"/>
    <col min="16" max="16" width="17.54296875" bestFit="1" customWidth="1"/>
    <col min="17" max="17" width="12.90625" bestFit="1" customWidth="1"/>
  </cols>
  <sheetData>
    <row r="1" spans="1:19" x14ac:dyDescent="0.35">
      <c r="A1" s="4" t="s">
        <v>0</v>
      </c>
      <c r="B1" s="2" t="s">
        <v>1</v>
      </c>
      <c r="C1" s="2" t="s">
        <v>2</v>
      </c>
      <c r="D1" s="2" t="s">
        <v>3</v>
      </c>
      <c r="E1" s="6" t="s">
        <v>4</v>
      </c>
      <c r="F1" s="2" t="s">
        <v>5</v>
      </c>
      <c r="G1" s="2" t="s">
        <v>6</v>
      </c>
      <c r="H1" s="1" t="s">
        <v>7</v>
      </c>
      <c r="I1" s="1" t="s">
        <v>8</v>
      </c>
      <c r="J1" s="3" t="s">
        <v>9</v>
      </c>
      <c r="K1" t="s">
        <v>10</v>
      </c>
      <c r="L1" s="2" t="s">
        <v>11</v>
      </c>
      <c r="M1" s="6" t="s">
        <v>12</v>
      </c>
      <c r="N1" t="s">
        <v>186</v>
      </c>
      <c r="O1" t="s">
        <v>188</v>
      </c>
      <c r="P1" t="s">
        <v>189</v>
      </c>
      <c r="Q1" t="s">
        <v>190</v>
      </c>
    </row>
    <row r="2" spans="1:19" x14ac:dyDescent="0.35">
      <c r="A2" s="4" t="s">
        <v>13</v>
      </c>
      <c r="B2" s="2" t="s">
        <v>14</v>
      </c>
      <c r="C2" s="2" t="s">
        <v>15</v>
      </c>
      <c r="D2" s="2" t="s">
        <v>16</v>
      </c>
      <c r="E2" s="6">
        <v>33</v>
      </c>
      <c r="F2" s="2" t="s">
        <v>17</v>
      </c>
      <c r="G2" s="2" t="s">
        <v>18</v>
      </c>
      <c r="H2" s="1">
        <v>42391</v>
      </c>
      <c r="J2" s="3">
        <v>184591</v>
      </c>
      <c r="K2" s="2" t="s">
        <v>19</v>
      </c>
      <c r="L2" s="2" t="s">
        <v>20</v>
      </c>
      <c r="M2" s="6">
        <v>2</v>
      </c>
      <c r="N2" s="15">
        <f ca="1">DATEDIF(EmpData[Hire_Date], IF(EmpData[Exit_Date]="", TODAY(), EmpData[Exit_Date]), "Y")</f>
        <v>9</v>
      </c>
      <c r="O2" t="str">
        <f>IF(EmpData[Exit_Date]="","Active","Exited")</f>
        <v>Active</v>
      </c>
      <c r="P2" t="str">
        <f ca="1">_xlfn.IFS(
EmpData[Tenure(Years)] &lt; 2,"New Staff",
EmpData[Tenure(Years)] &lt; 5,"Intermediate",
EmpData[Tenure(Years)] &lt; 10,"Experienced",
TRUE,"Veteran"
)</f>
        <v>Experienced</v>
      </c>
      <c r="Q2" t="str">
        <f>IF(EmpData[[#This Row],[Age]] &lt; 30, "Under 30",
    IF(EmpData[[#This Row],[Age]] &lt; 40, "30-39",
        IF(EmpData[[#This Row],[Age]] &lt; 50, "40-49",
            "50+"
        )
    )
)</f>
        <v>30-39</v>
      </c>
      <c r="S2">
        <f>COUNTIF(EmpData[Status],"Exited")</f>
        <v>29</v>
      </c>
    </row>
    <row r="3" spans="1:19" x14ac:dyDescent="0.35">
      <c r="A3" s="4" t="s">
        <v>21</v>
      </c>
      <c r="B3" s="2" t="s">
        <v>22</v>
      </c>
      <c r="C3" s="2" t="s">
        <v>23</v>
      </c>
      <c r="D3" s="2" t="s">
        <v>16</v>
      </c>
      <c r="E3" s="6">
        <v>36</v>
      </c>
      <c r="F3" s="2" t="s">
        <v>24</v>
      </c>
      <c r="G3" s="2" t="s">
        <v>25</v>
      </c>
      <c r="H3" s="1">
        <v>44046</v>
      </c>
      <c r="I3" s="1">
        <v>44394</v>
      </c>
      <c r="J3" s="3">
        <v>146626</v>
      </c>
      <c r="K3" s="2" t="s">
        <v>19</v>
      </c>
      <c r="L3" s="2" t="s">
        <v>20</v>
      </c>
      <c r="M3" s="6">
        <v>2</v>
      </c>
      <c r="N3" s="15">
        <f ca="1">DATEDIF(EmpData[Hire_Date], IF(EmpData[Exit_Date]="", TODAY(), EmpData[Exit_Date]), "Y")</f>
        <v>0</v>
      </c>
      <c r="O3" t="str">
        <f>IF(EmpData[Exit_Date]="","Active","Exited")</f>
        <v>Exited</v>
      </c>
      <c r="P3" t="str">
        <f ca="1">_xlfn.IFS(
EmpData[Tenure(Years)] &lt; 2,"New Staff",
EmpData[Tenure(Years)] &lt; 5,"Intermediate",
EmpData[Tenure(Years)] &lt; 10,"Experienced",
TRUE,"Veteran"
)</f>
        <v>New Staff</v>
      </c>
      <c r="Q3" t="str">
        <f>IF(EmpData[[#This Row],[Age]] &lt; 30, "Under 30",
    IF(EmpData[[#This Row],[Age]] &lt; 40, "30-39",
        IF(EmpData[[#This Row],[Age]] &lt; 50, "40-49",
            "50+"
        )
    )
)</f>
        <v>30-39</v>
      </c>
      <c r="S3">
        <f>COUNTA(EmpData[Employee_ID])</f>
        <v>100</v>
      </c>
    </row>
    <row r="4" spans="1:19" x14ac:dyDescent="0.35">
      <c r="A4" s="4" t="s">
        <v>26</v>
      </c>
      <c r="B4" s="2" t="s">
        <v>27</v>
      </c>
      <c r="C4" s="2" t="s">
        <v>28</v>
      </c>
      <c r="D4" s="2" t="s">
        <v>29</v>
      </c>
      <c r="E4" s="6">
        <v>51</v>
      </c>
      <c r="F4" s="2" t="s">
        <v>30</v>
      </c>
      <c r="G4" s="2" t="s">
        <v>31</v>
      </c>
      <c r="H4" s="1">
        <v>42286</v>
      </c>
      <c r="I4" s="1">
        <v>43124</v>
      </c>
      <c r="J4" s="3">
        <v>53790</v>
      </c>
      <c r="K4" s="2" t="s">
        <v>32</v>
      </c>
      <c r="L4" s="2" t="s">
        <v>33</v>
      </c>
      <c r="M4" s="6">
        <v>1</v>
      </c>
      <c r="N4" s="15">
        <f ca="1">DATEDIF(EmpData[Hire_Date], IF(EmpData[Exit_Date]="", TODAY(), EmpData[Exit_Date]), "Y")</f>
        <v>2</v>
      </c>
      <c r="O4" t="str">
        <f>IF(EmpData[Exit_Date]="","Active","Exited")</f>
        <v>Exited</v>
      </c>
      <c r="P4" t="str">
        <f ca="1">_xlfn.IFS(
EmpData[Tenure(Years)] &lt; 2,"New Staff",
EmpData[Tenure(Years)] &lt; 5,"Intermediate",
EmpData[Tenure(Years)] &lt; 10,"Experienced",
TRUE,"Veteran"
)</f>
        <v>Intermediate</v>
      </c>
      <c r="Q4" t="str">
        <f>IF(EmpData[[#This Row],[Age]] &lt; 30, "Under 30",
    IF(EmpData[[#This Row],[Age]] &lt; 40, "30-39",
        IF(EmpData[[#This Row],[Age]] &lt; 50, "40-49",
            "50+"
        )
    )
)</f>
        <v>50+</v>
      </c>
    </row>
    <row r="5" spans="1:19" x14ac:dyDescent="0.35">
      <c r="A5" s="4" t="s">
        <v>34</v>
      </c>
      <c r="B5" s="2" t="s">
        <v>35</v>
      </c>
      <c r="C5" s="2" t="s">
        <v>36</v>
      </c>
      <c r="D5" s="2" t="s">
        <v>16</v>
      </c>
      <c r="E5" s="6">
        <v>39</v>
      </c>
      <c r="F5" s="2" t="s">
        <v>37</v>
      </c>
      <c r="G5" s="2" t="s">
        <v>38</v>
      </c>
      <c r="H5" s="1">
        <v>42599</v>
      </c>
      <c r="J5" s="3">
        <v>163358</v>
      </c>
      <c r="K5" s="2" t="s">
        <v>39</v>
      </c>
      <c r="L5" s="2" t="s">
        <v>20</v>
      </c>
      <c r="M5" s="6">
        <v>3</v>
      </c>
      <c r="N5" s="15">
        <f ca="1">DATEDIF(EmpData[Hire_Date], IF(EmpData[Exit_Date]="", TODAY(), EmpData[Exit_Date]), "Y")</f>
        <v>9</v>
      </c>
      <c r="O5" t="str">
        <f>IF(EmpData[Exit_Date]="","Active","Exited")</f>
        <v>Active</v>
      </c>
      <c r="P5" t="str">
        <f ca="1">_xlfn.IFS(
EmpData[Tenure(Years)] &lt; 2,"New Staff",
EmpData[Tenure(Years)] &lt; 5,"Intermediate",
EmpData[Tenure(Years)] &lt; 10,"Experienced",
TRUE,"Veteran"
)</f>
        <v>Experienced</v>
      </c>
      <c r="Q5" t="str">
        <f>IF(EmpData[[#This Row],[Age]] &lt; 30, "Under 30",
    IF(EmpData[[#This Row],[Age]] &lt; 40, "30-39",
        IF(EmpData[[#This Row],[Age]] &lt; 50, "40-49",
            "50+"
        )
    )
)</f>
        <v>30-39</v>
      </c>
    </row>
    <row r="6" spans="1:19" x14ac:dyDescent="0.35">
      <c r="A6" s="4" t="s">
        <v>40</v>
      </c>
      <c r="B6" s="2" t="s">
        <v>41</v>
      </c>
      <c r="C6" s="2" t="s">
        <v>42</v>
      </c>
      <c r="D6" s="2" t="s">
        <v>16</v>
      </c>
      <c r="E6" s="6">
        <v>48</v>
      </c>
      <c r="F6" s="2" t="s">
        <v>24</v>
      </c>
      <c r="G6" s="2" t="s">
        <v>25</v>
      </c>
      <c r="H6" s="1">
        <v>44025</v>
      </c>
      <c r="I6" s="1">
        <v>45607</v>
      </c>
      <c r="J6" s="3">
        <v>103381</v>
      </c>
      <c r="K6" s="2" t="s">
        <v>43</v>
      </c>
      <c r="L6" s="2" t="s">
        <v>20</v>
      </c>
      <c r="M6" s="6">
        <v>3</v>
      </c>
      <c r="N6" s="15">
        <f ca="1">DATEDIF(EmpData[Hire_Date], IF(EmpData[Exit_Date]="", TODAY(), EmpData[Exit_Date]), "Y")</f>
        <v>4</v>
      </c>
      <c r="O6" t="str">
        <f>IF(EmpData[Exit_Date]="","Active","Exited")</f>
        <v>Exited</v>
      </c>
      <c r="P6" t="str">
        <f ca="1">_xlfn.IFS(
EmpData[Tenure(Years)] &lt; 2,"New Staff",
EmpData[Tenure(Years)] &lt; 5,"Intermediate",
EmpData[Tenure(Years)] &lt; 10,"Experienced",
TRUE,"Veteran"
)</f>
        <v>Intermediate</v>
      </c>
      <c r="Q6" t="str">
        <f>IF(EmpData[[#This Row],[Age]] &lt; 30, "Under 30",
    IF(EmpData[[#This Row],[Age]] &lt; 40, "30-39",
        IF(EmpData[[#This Row],[Age]] &lt; 50, "40-49",
            "50+"
        )
    )
)</f>
        <v>40-49</v>
      </c>
    </row>
    <row r="7" spans="1:19" x14ac:dyDescent="0.35">
      <c r="A7" s="4" t="s">
        <v>44</v>
      </c>
      <c r="B7" s="2" t="s">
        <v>14</v>
      </c>
      <c r="C7" s="2" t="s">
        <v>45</v>
      </c>
      <c r="D7" s="2" t="s">
        <v>16</v>
      </c>
      <c r="E7" s="6">
        <v>28</v>
      </c>
      <c r="F7" s="2" t="s">
        <v>46</v>
      </c>
      <c r="G7" s="2" t="s">
        <v>47</v>
      </c>
      <c r="H7" s="1">
        <v>42474</v>
      </c>
      <c r="I7" s="1">
        <v>45553</v>
      </c>
      <c r="J7" s="3">
        <v>98673</v>
      </c>
      <c r="K7" s="2" t="s">
        <v>39</v>
      </c>
      <c r="L7" s="2" t="s">
        <v>48</v>
      </c>
      <c r="M7" s="6">
        <v>2</v>
      </c>
      <c r="N7" s="15">
        <f ca="1">DATEDIF(EmpData[Hire_Date], IF(EmpData[Exit_Date]="", TODAY(), EmpData[Exit_Date]), "Y")</f>
        <v>8</v>
      </c>
      <c r="O7" t="str">
        <f>IF(EmpData[Exit_Date]="","Active","Exited")</f>
        <v>Exited</v>
      </c>
      <c r="P7" t="str">
        <f ca="1">_xlfn.IFS(
EmpData[Tenure(Years)] &lt; 2,"New Staff",
EmpData[Tenure(Years)] &lt; 5,"Intermediate",
EmpData[Tenure(Years)] &lt; 10,"Experienced",
TRUE,"Veteran"
)</f>
        <v>Experienced</v>
      </c>
      <c r="Q7" t="str">
        <f>IF(EmpData[[#This Row],[Age]] &lt; 30, "Under 30",
    IF(EmpData[[#This Row],[Age]] &lt; 40, "30-39",
        IF(EmpData[[#This Row],[Age]] &lt; 50, "40-49",
            "50+"
        )
    )
)</f>
        <v>Under 30</v>
      </c>
    </row>
    <row r="8" spans="1:19" x14ac:dyDescent="0.35">
      <c r="A8" s="4" t="s">
        <v>49</v>
      </c>
      <c r="B8" s="2" t="s">
        <v>50</v>
      </c>
      <c r="C8" s="2" t="s">
        <v>36</v>
      </c>
      <c r="D8" s="2" t="s">
        <v>16</v>
      </c>
      <c r="E8" s="6">
        <v>46</v>
      </c>
      <c r="F8" s="2" t="s">
        <v>37</v>
      </c>
      <c r="G8" s="2" t="s">
        <v>38</v>
      </c>
      <c r="H8" s="1">
        <v>44640</v>
      </c>
      <c r="J8" s="3">
        <v>92106</v>
      </c>
      <c r="K8" s="2" t="s">
        <v>32</v>
      </c>
      <c r="L8" s="2" t="s">
        <v>20</v>
      </c>
      <c r="M8" s="6">
        <v>4</v>
      </c>
      <c r="N8" s="15">
        <f ca="1">DATEDIF(EmpData[Hire_Date], IF(EmpData[Exit_Date]="", TODAY(), EmpData[Exit_Date]), "Y")</f>
        <v>3</v>
      </c>
      <c r="O8" t="str">
        <f>IF(EmpData[Exit_Date]="","Active","Exited")</f>
        <v>Active</v>
      </c>
      <c r="P8" t="str">
        <f ca="1">_xlfn.IFS(
EmpData[Tenure(Years)] &lt; 2,"New Staff",
EmpData[Tenure(Years)] &lt; 5,"Intermediate",
EmpData[Tenure(Years)] &lt; 10,"Experienced",
TRUE,"Veteran"
)</f>
        <v>Intermediate</v>
      </c>
      <c r="Q8" t="str">
        <f>IF(EmpData[[#This Row],[Age]] &lt; 30, "Under 30",
    IF(EmpData[[#This Row],[Age]] &lt; 40, "30-39",
        IF(EmpData[[#This Row],[Age]] &lt; 50, "40-49",
            "50+"
        )
    )
)</f>
        <v>40-49</v>
      </c>
    </row>
    <row r="9" spans="1:19" x14ac:dyDescent="0.35">
      <c r="A9" s="4" t="s">
        <v>51</v>
      </c>
      <c r="B9" s="2" t="s">
        <v>52</v>
      </c>
      <c r="C9" s="2" t="s">
        <v>53</v>
      </c>
      <c r="D9" s="2" t="s">
        <v>16</v>
      </c>
      <c r="E9" s="6">
        <v>32</v>
      </c>
      <c r="F9" s="2" t="s">
        <v>30</v>
      </c>
      <c r="G9" s="2" t="s">
        <v>54</v>
      </c>
      <c r="H9" s="1">
        <v>44399</v>
      </c>
      <c r="J9" s="3">
        <v>135088</v>
      </c>
      <c r="K9" s="2" t="s">
        <v>19</v>
      </c>
      <c r="L9" s="2" t="s">
        <v>48</v>
      </c>
      <c r="M9" s="6">
        <v>5</v>
      </c>
      <c r="N9" s="15">
        <f ca="1">DATEDIF(EmpData[Hire_Date], IF(EmpData[Exit_Date]="", TODAY(), EmpData[Exit_Date]), "Y")</f>
        <v>4</v>
      </c>
      <c r="O9" t="str">
        <f>IF(EmpData[Exit_Date]="","Active","Exited")</f>
        <v>Active</v>
      </c>
      <c r="P9" t="str">
        <f ca="1">_xlfn.IFS(
EmpData[Tenure(Years)] &lt; 2,"New Staff",
EmpData[Tenure(Years)] &lt; 5,"Intermediate",
EmpData[Tenure(Years)] &lt; 10,"Experienced",
TRUE,"Veteran"
)</f>
        <v>Intermediate</v>
      </c>
      <c r="Q9" t="str">
        <f>IF(EmpData[[#This Row],[Age]] &lt; 30, "Under 30",
    IF(EmpData[[#This Row],[Age]] &lt; 40, "30-39",
        IF(EmpData[[#This Row],[Age]] &lt; 50, "40-49",
            "50+"
        )
    )
)</f>
        <v>30-39</v>
      </c>
    </row>
    <row r="10" spans="1:19" x14ac:dyDescent="0.35">
      <c r="A10" s="4" t="s">
        <v>55</v>
      </c>
      <c r="B10" s="2" t="s">
        <v>56</v>
      </c>
      <c r="C10" s="2" t="s">
        <v>57</v>
      </c>
      <c r="D10" s="2" t="s">
        <v>16</v>
      </c>
      <c r="E10" s="6">
        <v>38</v>
      </c>
      <c r="F10" s="2" t="s">
        <v>58</v>
      </c>
      <c r="G10" s="2" t="s">
        <v>59</v>
      </c>
      <c r="H10" s="1">
        <v>43973</v>
      </c>
      <c r="J10" s="3">
        <v>130948</v>
      </c>
      <c r="K10" s="2" t="s">
        <v>19</v>
      </c>
      <c r="L10" s="2" t="s">
        <v>20</v>
      </c>
      <c r="M10" s="6">
        <v>2</v>
      </c>
      <c r="N10" s="15">
        <f ca="1">DATEDIF(EmpData[Hire_Date], IF(EmpData[Exit_Date]="", TODAY(), EmpData[Exit_Date]), "Y")</f>
        <v>5</v>
      </c>
      <c r="O10" t="str">
        <f>IF(EmpData[Exit_Date]="","Active","Exited")</f>
        <v>Active</v>
      </c>
      <c r="P10" t="str">
        <f ca="1">_xlfn.IFS(
EmpData[Tenure(Years)] &lt; 2,"New Staff",
EmpData[Tenure(Years)] &lt; 5,"Intermediate",
EmpData[Tenure(Years)] &lt; 10,"Experienced",
TRUE,"Veteran"
)</f>
        <v>Experienced</v>
      </c>
      <c r="Q10" t="str">
        <f>IF(EmpData[[#This Row],[Age]] &lt; 30, "Under 30",
    IF(EmpData[[#This Row],[Age]] &lt; 40, "30-39",
        IF(EmpData[[#This Row],[Age]] &lt; 50, "40-49",
            "50+"
        )
    )
)</f>
        <v>30-39</v>
      </c>
    </row>
    <row r="11" spans="1:19" x14ac:dyDescent="0.35">
      <c r="A11" s="4" t="s">
        <v>60</v>
      </c>
      <c r="B11" s="2" t="s">
        <v>27</v>
      </c>
      <c r="C11" s="2" t="s">
        <v>53</v>
      </c>
      <c r="D11" s="2" t="s">
        <v>16</v>
      </c>
      <c r="E11" s="6">
        <v>40</v>
      </c>
      <c r="F11" s="2" t="s">
        <v>17</v>
      </c>
      <c r="G11" s="2" t="s">
        <v>18</v>
      </c>
      <c r="H11" s="1">
        <v>43555</v>
      </c>
      <c r="J11" s="3">
        <v>119740</v>
      </c>
      <c r="K11" s="2" t="s">
        <v>32</v>
      </c>
      <c r="L11" s="2" t="s">
        <v>20</v>
      </c>
      <c r="M11" s="6">
        <v>2</v>
      </c>
      <c r="N11" s="15">
        <f ca="1">DATEDIF(EmpData[Hire_Date], IF(EmpData[Exit_Date]="", TODAY(), EmpData[Exit_Date]), "Y")</f>
        <v>6</v>
      </c>
      <c r="O11" t="str">
        <f>IF(EmpData[Exit_Date]="","Active","Exited")</f>
        <v>Active</v>
      </c>
      <c r="P11" t="str">
        <f ca="1">_xlfn.IFS(
EmpData[Tenure(Years)] &lt; 2,"New Staff",
EmpData[Tenure(Years)] &lt; 5,"Intermediate",
EmpData[Tenure(Years)] &lt; 10,"Experienced",
TRUE,"Veteran"
)</f>
        <v>Experienced</v>
      </c>
      <c r="Q11" t="str">
        <f>IF(EmpData[[#This Row],[Age]] &lt; 30, "Under 30",
    IF(EmpData[[#This Row],[Age]] &lt; 40, "30-39",
        IF(EmpData[[#This Row],[Age]] &lt; 50, "40-49",
            "50+"
        )
    )
)</f>
        <v>40-49</v>
      </c>
    </row>
    <row r="12" spans="1:19" x14ac:dyDescent="0.35">
      <c r="A12" s="4" t="s">
        <v>61</v>
      </c>
      <c r="B12" s="2" t="s">
        <v>62</v>
      </c>
      <c r="C12" s="2" t="s">
        <v>36</v>
      </c>
      <c r="D12" s="2" t="s">
        <v>16</v>
      </c>
      <c r="E12" s="6">
        <v>45</v>
      </c>
      <c r="F12" s="2" t="s">
        <v>58</v>
      </c>
      <c r="G12" s="2" t="s">
        <v>59</v>
      </c>
      <c r="H12" s="1">
        <v>43251</v>
      </c>
      <c r="J12" s="3">
        <v>43319</v>
      </c>
      <c r="K12" s="2" t="s">
        <v>39</v>
      </c>
      <c r="L12" s="2" t="s">
        <v>48</v>
      </c>
      <c r="M12" s="6">
        <v>1</v>
      </c>
      <c r="N12" s="15">
        <f ca="1">DATEDIF(EmpData[Hire_Date], IF(EmpData[Exit_Date]="", TODAY(), EmpData[Exit_Date]), "Y")</f>
        <v>7</v>
      </c>
      <c r="O12" t="str">
        <f>IF(EmpData[Exit_Date]="","Active","Exited")</f>
        <v>Active</v>
      </c>
      <c r="P12" t="str">
        <f ca="1">_xlfn.IFS(
EmpData[Tenure(Years)] &lt; 2,"New Staff",
EmpData[Tenure(Years)] &lt; 5,"Intermediate",
EmpData[Tenure(Years)] &lt; 10,"Experienced",
TRUE,"Veteran"
)</f>
        <v>Experienced</v>
      </c>
      <c r="Q12" t="str">
        <f>IF(EmpData[[#This Row],[Age]] &lt; 30, "Under 30",
    IF(EmpData[[#This Row],[Age]] &lt; 40, "30-39",
        IF(EmpData[[#This Row],[Age]] &lt; 50, "40-49",
            "50+"
        )
    )
)</f>
        <v>40-49</v>
      </c>
    </row>
    <row r="13" spans="1:19" x14ac:dyDescent="0.35">
      <c r="A13" s="4" t="s">
        <v>63</v>
      </c>
      <c r="B13" s="2" t="s">
        <v>64</v>
      </c>
      <c r="C13" s="2" t="s">
        <v>53</v>
      </c>
      <c r="D13" s="2" t="s">
        <v>16</v>
      </c>
      <c r="E13" s="6">
        <v>48</v>
      </c>
      <c r="F13" s="2" t="s">
        <v>37</v>
      </c>
      <c r="G13" s="2" t="s">
        <v>65</v>
      </c>
      <c r="H13" s="1">
        <v>42492</v>
      </c>
      <c r="I13" s="1">
        <v>44738</v>
      </c>
      <c r="J13" s="3">
        <v>140319</v>
      </c>
      <c r="K13" s="2" t="s">
        <v>43</v>
      </c>
      <c r="L13" s="2" t="s">
        <v>33</v>
      </c>
      <c r="M13" s="6">
        <v>1</v>
      </c>
      <c r="N13" s="15">
        <f ca="1">DATEDIF(EmpData[Hire_Date], IF(EmpData[Exit_Date]="", TODAY(), EmpData[Exit_Date]), "Y")</f>
        <v>6</v>
      </c>
      <c r="O13" t="str">
        <f>IF(EmpData[Exit_Date]="","Active","Exited")</f>
        <v>Exited</v>
      </c>
      <c r="P13" t="str">
        <f ca="1">_xlfn.IFS(
EmpData[Tenure(Years)] &lt; 2,"New Staff",
EmpData[Tenure(Years)] &lt; 5,"Intermediate",
EmpData[Tenure(Years)] &lt; 10,"Experienced",
TRUE,"Veteran"
)</f>
        <v>Experienced</v>
      </c>
      <c r="Q13" t="str">
        <f>IF(EmpData[[#This Row],[Age]] &lt; 30, "Under 30",
    IF(EmpData[[#This Row],[Age]] &lt; 40, "30-39",
        IF(EmpData[[#This Row],[Age]] &lt; 50, "40-49",
            "50+"
        )
    )
)</f>
        <v>40-49</v>
      </c>
    </row>
    <row r="14" spans="1:19" x14ac:dyDescent="0.35">
      <c r="A14" s="4" t="s">
        <v>66</v>
      </c>
      <c r="B14" s="2" t="s">
        <v>62</v>
      </c>
      <c r="C14" s="2" t="s">
        <v>67</v>
      </c>
      <c r="D14" s="2" t="s">
        <v>29</v>
      </c>
      <c r="E14" s="6">
        <v>51</v>
      </c>
      <c r="F14" s="2" t="s">
        <v>68</v>
      </c>
      <c r="G14" s="2" t="s">
        <v>69</v>
      </c>
      <c r="H14" s="1">
        <v>43069</v>
      </c>
      <c r="I14" s="1">
        <v>44164</v>
      </c>
      <c r="J14" s="3">
        <v>194659</v>
      </c>
      <c r="K14" s="2" t="s">
        <v>19</v>
      </c>
      <c r="L14" s="2" t="s">
        <v>20</v>
      </c>
      <c r="M14" s="6">
        <v>2</v>
      </c>
      <c r="N14" s="15">
        <f ca="1">DATEDIF(EmpData[Hire_Date], IF(EmpData[Exit_Date]="", TODAY(), EmpData[Exit_Date]), "Y")</f>
        <v>2</v>
      </c>
      <c r="O14" t="str">
        <f>IF(EmpData[Exit_Date]="","Active","Exited")</f>
        <v>Exited</v>
      </c>
      <c r="P14" t="str">
        <f ca="1">_xlfn.IFS(
EmpData[Tenure(Years)] &lt; 2,"New Staff",
EmpData[Tenure(Years)] &lt; 5,"Intermediate",
EmpData[Tenure(Years)] &lt; 10,"Experienced",
TRUE,"Veteran"
)</f>
        <v>Intermediate</v>
      </c>
      <c r="Q14" t="str">
        <f>IF(EmpData[[#This Row],[Age]] &lt; 30, "Under 30",
    IF(EmpData[[#This Row],[Age]] &lt; 40, "30-39",
        IF(EmpData[[#This Row],[Age]] &lt; 50, "40-49",
            "50+"
        )
    )
)</f>
        <v>50+</v>
      </c>
    </row>
    <row r="15" spans="1:19" x14ac:dyDescent="0.35">
      <c r="A15" s="4" t="s">
        <v>70</v>
      </c>
      <c r="B15" s="2" t="s">
        <v>71</v>
      </c>
      <c r="C15" s="2" t="s">
        <v>67</v>
      </c>
      <c r="D15" s="2" t="s">
        <v>16</v>
      </c>
      <c r="E15" s="6">
        <v>30</v>
      </c>
      <c r="F15" s="2" t="s">
        <v>58</v>
      </c>
      <c r="G15" s="2" t="s">
        <v>72</v>
      </c>
      <c r="H15" s="1">
        <v>45505</v>
      </c>
      <c r="J15" s="3">
        <v>43461</v>
      </c>
      <c r="K15" s="2" t="s">
        <v>19</v>
      </c>
      <c r="L15" s="2" t="s">
        <v>20</v>
      </c>
      <c r="M15" s="6">
        <v>1</v>
      </c>
      <c r="N15" s="15">
        <f ca="1">DATEDIF(EmpData[Hire_Date], IF(EmpData[Exit_Date]="", TODAY(), EmpData[Exit_Date]), "Y")</f>
        <v>1</v>
      </c>
      <c r="O15" t="str">
        <f>IF(EmpData[Exit_Date]="","Active","Exited")</f>
        <v>Active</v>
      </c>
      <c r="P15" t="str">
        <f ca="1">_xlfn.IFS(
EmpData[Tenure(Years)] &lt; 2,"New Staff",
EmpData[Tenure(Years)] &lt; 5,"Intermediate",
EmpData[Tenure(Years)] &lt; 10,"Experienced",
TRUE,"Veteran"
)</f>
        <v>New Staff</v>
      </c>
      <c r="Q15" t="str">
        <f>IF(EmpData[[#This Row],[Age]] &lt; 30, "Under 30",
    IF(EmpData[[#This Row],[Age]] &lt; 40, "30-39",
        IF(EmpData[[#This Row],[Age]] &lt; 50, "40-49",
            "50+"
        )
    )
)</f>
        <v>30-39</v>
      </c>
    </row>
    <row r="16" spans="1:19" x14ac:dyDescent="0.35">
      <c r="A16" s="4" t="s">
        <v>73</v>
      </c>
      <c r="B16" s="2" t="s">
        <v>22</v>
      </c>
      <c r="C16" s="2" t="s">
        <v>45</v>
      </c>
      <c r="D16" s="2" t="s">
        <v>29</v>
      </c>
      <c r="E16" s="6">
        <v>32</v>
      </c>
      <c r="F16" s="2" t="s">
        <v>24</v>
      </c>
      <c r="G16" s="2" t="s">
        <v>74</v>
      </c>
      <c r="H16" s="1">
        <v>42780</v>
      </c>
      <c r="J16" s="3">
        <v>137326</v>
      </c>
      <c r="K16" s="2" t="s">
        <v>43</v>
      </c>
      <c r="L16" s="2" t="s">
        <v>33</v>
      </c>
      <c r="M16" s="6">
        <v>1</v>
      </c>
      <c r="N16" s="15">
        <f ca="1">DATEDIF(EmpData[Hire_Date], IF(EmpData[Exit_Date]="", TODAY(), EmpData[Exit_Date]), "Y")</f>
        <v>8</v>
      </c>
      <c r="O16" t="str">
        <f>IF(EmpData[Exit_Date]="","Active","Exited")</f>
        <v>Active</v>
      </c>
      <c r="P16" t="str">
        <f ca="1">_xlfn.IFS(
EmpData[Tenure(Years)] &lt; 2,"New Staff",
EmpData[Tenure(Years)] &lt; 5,"Intermediate",
EmpData[Tenure(Years)] &lt; 10,"Experienced",
TRUE,"Veteran"
)</f>
        <v>Experienced</v>
      </c>
      <c r="Q16" t="str">
        <f>IF(EmpData[[#This Row],[Age]] &lt; 30, "Under 30",
    IF(EmpData[[#This Row],[Age]] &lt; 40, "30-39",
        IF(EmpData[[#This Row],[Age]] &lt; 50, "40-49",
            "50+"
        )
    )
)</f>
        <v>30-39</v>
      </c>
    </row>
    <row r="17" spans="1:17" x14ac:dyDescent="0.35">
      <c r="A17" s="4" t="s">
        <v>75</v>
      </c>
      <c r="B17" s="2" t="s">
        <v>76</v>
      </c>
      <c r="C17" s="2" t="s">
        <v>28</v>
      </c>
      <c r="D17" s="2" t="s">
        <v>16</v>
      </c>
      <c r="E17" s="6">
        <v>22</v>
      </c>
      <c r="F17" s="2" t="s">
        <v>58</v>
      </c>
      <c r="G17" s="2" t="s">
        <v>72</v>
      </c>
      <c r="H17" s="1">
        <v>42335</v>
      </c>
      <c r="J17" s="3">
        <v>161764</v>
      </c>
      <c r="K17" s="2" t="s">
        <v>32</v>
      </c>
      <c r="L17" s="2" t="s">
        <v>20</v>
      </c>
      <c r="M17" s="6">
        <v>5</v>
      </c>
      <c r="N17" s="15">
        <f ca="1">DATEDIF(EmpData[Hire_Date], IF(EmpData[Exit_Date]="", TODAY(), EmpData[Exit_Date]), "Y")</f>
        <v>10</v>
      </c>
      <c r="O17" t="str">
        <f>IF(EmpData[Exit_Date]="","Active","Exited")</f>
        <v>Active</v>
      </c>
      <c r="P17" t="str">
        <f ca="1">_xlfn.IFS(
EmpData[Tenure(Years)] &lt; 2,"New Staff",
EmpData[Tenure(Years)] &lt; 5,"Intermediate",
EmpData[Tenure(Years)] &lt; 10,"Experienced",
TRUE,"Veteran"
)</f>
        <v>Veteran</v>
      </c>
      <c r="Q17" t="str">
        <f>IF(EmpData[[#This Row],[Age]] &lt; 30, "Under 30",
    IF(EmpData[[#This Row],[Age]] &lt; 40, "30-39",
        IF(EmpData[[#This Row],[Age]] &lt; 50, "40-49",
            "50+"
        )
    )
)</f>
        <v>Under 30</v>
      </c>
    </row>
    <row r="18" spans="1:17" x14ac:dyDescent="0.35">
      <c r="A18" s="4" t="s">
        <v>77</v>
      </c>
      <c r="B18" s="2" t="s">
        <v>78</v>
      </c>
      <c r="C18" s="2" t="s">
        <v>28</v>
      </c>
      <c r="D18" s="2" t="s">
        <v>16</v>
      </c>
      <c r="E18" s="6">
        <v>38</v>
      </c>
      <c r="F18" s="2" t="s">
        <v>17</v>
      </c>
      <c r="G18" s="2" t="s">
        <v>79</v>
      </c>
      <c r="H18" s="1">
        <v>45628</v>
      </c>
      <c r="J18" s="3">
        <v>111114</v>
      </c>
      <c r="K18" s="2" t="s">
        <v>32</v>
      </c>
      <c r="L18" s="2" t="s">
        <v>48</v>
      </c>
      <c r="M18" s="6">
        <v>5</v>
      </c>
      <c r="N18" s="15">
        <f ca="1">DATEDIF(EmpData[Hire_Date], IF(EmpData[Exit_Date]="", TODAY(), EmpData[Exit_Date]), "Y")</f>
        <v>1</v>
      </c>
      <c r="O18" t="str">
        <f>IF(EmpData[Exit_Date]="","Active","Exited")</f>
        <v>Active</v>
      </c>
      <c r="P18" t="str">
        <f ca="1">_xlfn.IFS(
EmpData[Tenure(Years)] &lt; 2,"New Staff",
EmpData[Tenure(Years)] &lt; 5,"Intermediate",
EmpData[Tenure(Years)] &lt; 10,"Experienced",
TRUE,"Veteran"
)</f>
        <v>New Staff</v>
      </c>
      <c r="Q18" t="str">
        <f>IF(EmpData[[#This Row],[Age]] &lt; 30, "Under 30",
    IF(EmpData[[#This Row],[Age]] &lt; 40, "30-39",
        IF(EmpData[[#This Row],[Age]] &lt; 50, "40-49",
            "50+"
        )
    )
)</f>
        <v>30-39</v>
      </c>
    </row>
    <row r="19" spans="1:17" x14ac:dyDescent="0.35">
      <c r="A19" s="4" t="s">
        <v>80</v>
      </c>
      <c r="B19" s="2" t="s">
        <v>27</v>
      </c>
      <c r="C19" s="2" t="s">
        <v>23</v>
      </c>
      <c r="D19" s="2" t="s">
        <v>16</v>
      </c>
      <c r="E19" s="6">
        <v>30</v>
      </c>
      <c r="F19" s="2" t="s">
        <v>17</v>
      </c>
      <c r="G19" s="2" t="s">
        <v>18</v>
      </c>
      <c r="H19" s="1">
        <v>43729</v>
      </c>
      <c r="I19" s="1">
        <v>44877</v>
      </c>
      <c r="J19" s="3">
        <v>80572</v>
      </c>
      <c r="K19" s="2" t="s">
        <v>32</v>
      </c>
      <c r="L19" s="2" t="s">
        <v>48</v>
      </c>
      <c r="M19" s="6">
        <v>1</v>
      </c>
      <c r="N19" s="15">
        <f ca="1">DATEDIF(EmpData[Hire_Date], IF(EmpData[Exit_Date]="", TODAY(), EmpData[Exit_Date]), "Y")</f>
        <v>3</v>
      </c>
      <c r="O19" t="str">
        <f>IF(EmpData[Exit_Date]="","Active","Exited")</f>
        <v>Exited</v>
      </c>
      <c r="P19" t="str">
        <f ca="1">_xlfn.IFS(
EmpData[Tenure(Years)] &lt; 2,"New Staff",
EmpData[Tenure(Years)] &lt; 5,"Intermediate",
EmpData[Tenure(Years)] &lt; 10,"Experienced",
TRUE,"Veteran"
)</f>
        <v>Intermediate</v>
      </c>
      <c r="Q19" t="str">
        <f>IF(EmpData[[#This Row],[Age]] &lt; 30, "Under 30",
    IF(EmpData[[#This Row],[Age]] &lt; 40, "30-39",
        IF(EmpData[[#This Row],[Age]] &lt; 50, "40-49",
            "50+"
        )
    )
)</f>
        <v>30-39</v>
      </c>
    </row>
    <row r="20" spans="1:17" x14ac:dyDescent="0.35">
      <c r="A20" s="4" t="s">
        <v>81</v>
      </c>
      <c r="B20" s="2" t="s">
        <v>82</v>
      </c>
      <c r="C20" s="2" t="s">
        <v>28</v>
      </c>
      <c r="D20" s="2" t="s">
        <v>29</v>
      </c>
      <c r="E20" s="6">
        <v>46</v>
      </c>
      <c r="F20" s="2" t="s">
        <v>30</v>
      </c>
      <c r="G20" s="2" t="s">
        <v>54</v>
      </c>
      <c r="H20" s="1">
        <v>44557</v>
      </c>
      <c r="J20" s="3">
        <v>96450</v>
      </c>
      <c r="K20" s="2" t="s">
        <v>43</v>
      </c>
      <c r="L20" s="2" t="s">
        <v>48</v>
      </c>
      <c r="M20" s="6">
        <v>3</v>
      </c>
      <c r="N20" s="15">
        <f ca="1">DATEDIF(EmpData[Hire_Date], IF(EmpData[Exit_Date]="", TODAY(), EmpData[Exit_Date]), "Y")</f>
        <v>3</v>
      </c>
      <c r="O20" t="str">
        <f>IF(EmpData[Exit_Date]="","Active","Exited")</f>
        <v>Active</v>
      </c>
      <c r="P20" t="str">
        <f ca="1">_xlfn.IFS(
EmpData[Tenure(Years)] &lt; 2,"New Staff",
EmpData[Tenure(Years)] &lt; 5,"Intermediate",
EmpData[Tenure(Years)] &lt; 10,"Experienced",
TRUE,"Veteran"
)</f>
        <v>Intermediate</v>
      </c>
      <c r="Q20" t="str">
        <f>IF(EmpData[[#This Row],[Age]] &lt; 30, "Under 30",
    IF(EmpData[[#This Row],[Age]] &lt; 40, "30-39",
        IF(EmpData[[#This Row],[Age]] &lt; 50, "40-49",
            "50+"
        )
    )
)</f>
        <v>40-49</v>
      </c>
    </row>
    <row r="21" spans="1:17" x14ac:dyDescent="0.35">
      <c r="A21" s="4" t="s">
        <v>83</v>
      </c>
      <c r="B21" s="2" t="s">
        <v>84</v>
      </c>
      <c r="C21" s="2" t="s">
        <v>42</v>
      </c>
      <c r="D21" s="2" t="s">
        <v>29</v>
      </c>
      <c r="E21" s="6">
        <v>34</v>
      </c>
      <c r="F21" s="2" t="s">
        <v>17</v>
      </c>
      <c r="G21" s="2" t="s">
        <v>79</v>
      </c>
      <c r="H21" s="1">
        <v>43142</v>
      </c>
      <c r="J21" s="3">
        <v>193815</v>
      </c>
      <c r="K21" s="2" t="s">
        <v>43</v>
      </c>
      <c r="L21" s="2" t="s">
        <v>20</v>
      </c>
      <c r="M21" s="6">
        <v>3</v>
      </c>
      <c r="N21" s="15">
        <f ca="1">DATEDIF(EmpData[Hire_Date], IF(EmpData[Exit_Date]="", TODAY(), EmpData[Exit_Date]), "Y")</f>
        <v>7</v>
      </c>
      <c r="O21" t="str">
        <f>IF(EmpData[Exit_Date]="","Active","Exited")</f>
        <v>Active</v>
      </c>
      <c r="P21" t="str">
        <f ca="1">_xlfn.IFS(
EmpData[Tenure(Years)] &lt; 2,"New Staff",
EmpData[Tenure(Years)] &lt; 5,"Intermediate",
EmpData[Tenure(Years)] &lt; 10,"Experienced",
TRUE,"Veteran"
)</f>
        <v>Experienced</v>
      </c>
      <c r="Q21" t="str">
        <f>IF(EmpData[[#This Row],[Age]] &lt; 30, "Under 30",
    IF(EmpData[[#This Row],[Age]] &lt; 40, "30-39",
        IF(EmpData[[#This Row],[Age]] &lt; 50, "40-49",
            "50+"
        )
    )
)</f>
        <v>30-39</v>
      </c>
    </row>
    <row r="22" spans="1:17" x14ac:dyDescent="0.35">
      <c r="A22" s="4" t="s">
        <v>85</v>
      </c>
      <c r="B22" s="2" t="s">
        <v>41</v>
      </c>
      <c r="C22" s="2" t="s">
        <v>36</v>
      </c>
      <c r="D22" s="2" t="s">
        <v>29</v>
      </c>
      <c r="E22" s="6">
        <v>26</v>
      </c>
      <c r="F22" s="2" t="s">
        <v>46</v>
      </c>
      <c r="G22" s="2" t="s">
        <v>86</v>
      </c>
      <c r="H22" s="1">
        <v>43521</v>
      </c>
      <c r="J22" s="3">
        <v>52198</v>
      </c>
      <c r="K22" s="2" t="s">
        <v>32</v>
      </c>
      <c r="L22" s="2" t="s">
        <v>20</v>
      </c>
      <c r="M22" s="6">
        <v>2</v>
      </c>
      <c r="N22" s="15">
        <f ca="1">DATEDIF(EmpData[Hire_Date], IF(EmpData[Exit_Date]="", TODAY(), EmpData[Exit_Date]), "Y")</f>
        <v>6</v>
      </c>
      <c r="O22" t="str">
        <f>IF(EmpData[Exit_Date]="","Active","Exited")</f>
        <v>Active</v>
      </c>
      <c r="P22" t="str">
        <f ca="1">_xlfn.IFS(
EmpData[Tenure(Years)] &lt; 2,"New Staff",
EmpData[Tenure(Years)] &lt; 5,"Intermediate",
EmpData[Tenure(Years)] &lt; 10,"Experienced",
TRUE,"Veteran"
)</f>
        <v>Experienced</v>
      </c>
      <c r="Q22" t="str">
        <f>IF(EmpData[[#This Row],[Age]] &lt; 30, "Under 30",
    IF(EmpData[[#This Row],[Age]] &lt; 40, "30-39",
        IF(EmpData[[#This Row],[Age]] &lt; 50, "40-49",
            "50+"
        )
    )
)</f>
        <v>Under 30</v>
      </c>
    </row>
    <row r="23" spans="1:17" x14ac:dyDescent="0.35">
      <c r="A23" s="4" t="s">
        <v>87</v>
      </c>
      <c r="B23" s="2" t="s">
        <v>64</v>
      </c>
      <c r="C23" s="2" t="s">
        <v>45</v>
      </c>
      <c r="D23" s="2" t="s">
        <v>29</v>
      </c>
      <c r="E23" s="6">
        <v>43</v>
      </c>
      <c r="F23" s="2" t="s">
        <v>46</v>
      </c>
      <c r="G23" s="2" t="s">
        <v>88</v>
      </c>
      <c r="H23" s="1">
        <v>45531</v>
      </c>
      <c r="I23" s="1">
        <v>45588</v>
      </c>
      <c r="J23" s="3">
        <v>145125</v>
      </c>
      <c r="K23" s="2" t="s">
        <v>32</v>
      </c>
      <c r="L23" s="2" t="s">
        <v>20</v>
      </c>
      <c r="M23" s="6">
        <v>1</v>
      </c>
      <c r="N23" s="15">
        <f ca="1">DATEDIF(EmpData[Hire_Date], IF(EmpData[Exit_Date]="", TODAY(), EmpData[Exit_Date]), "Y")</f>
        <v>0</v>
      </c>
      <c r="O23" t="str">
        <f>IF(EmpData[Exit_Date]="","Active","Exited")</f>
        <v>Exited</v>
      </c>
      <c r="P23" t="str">
        <f ca="1">_xlfn.IFS(
EmpData[Tenure(Years)] &lt; 2,"New Staff",
EmpData[Tenure(Years)] &lt; 5,"Intermediate",
EmpData[Tenure(Years)] &lt; 10,"Experienced",
TRUE,"Veteran"
)</f>
        <v>New Staff</v>
      </c>
      <c r="Q23" t="str">
        <f>IF(EmpData[[#This Row],[Age]] &lt; 30, "Under 30",
    IF(EmpData[[#This Row],[Age]] &lt; 40, "30-39",
        IF(EmpData[[#This Row],[Age]] &lt; 50, "40-49",
            "50+"
        )
    )
)</f>
        <v>40-49</v>
      </c>
    </row>
    <row r="24" spans="1:17" x14ac:dyDescent="0.35">
      <c r="A24" s="4" t="s">
        <v>89</v>
      </c>
      <c r="B24" s="2" t="s">
        <v>90</v>
      </c>
      <c r="C24" s="2" t="s">
        <v>91</v>
      </c>
      <c r="D24" s="2" t="s">
        <v>16</v>
      </c>
      <c r="E24" s="6">
        <v>49</v>
      </c>
      <c r="F24" s="2" t="s">
        <v>24</v>
      </c>
      <c r="G24" s="2" t="s">
        <v>92</v>
      </c>
      <c r="H24" s="1">
        <v>45167</v>
      </c>
      <c r="J24" s="3">
        <v>157288</v>
      </c>
      <c r="K24" s="2" t="s">
        <v>39</v>
      </c>
      <c r="L24" s="2" t="s">
        <v>20</v>
      </c>
      <c r="M24" s="6">
        <v>2</v>
      </c>
      <c r="N24" s="15">
        <f ca="1">DATEDIF(EmpData[Hire_Date], IF(EmpData[Exit_Date]="", TODAY(), EmpData[Exit_Date]), "Y")</f>
        <v>2</v>
      </c>
      <c r="O24" t="str">
        <f>IF(EmpData[Exit_Date]="","Active","Exited")</f>
        <v>Active</v>
      </c>
      <c r="P24" t="str">
        <f ca="1">_xlfn.IFS(
EmpData[Tenure(Years)] &lt; 2,"New Staff",
EmpData[Tenure(Years)] &lt; 5,"Intermediate",
EmpData[Tenure(Years)] &lt; 10,"Experienced",
TRUE,"Veteran"
)</f>
        <v>Intermediate</v>
      </c>
      <c r="Q24" t="str">
        <f>IF(EmpData[[#This Row],[Age]] &lt; 30, "Under 30",
    IF(EmpData[[#This Row],[Age]] &lt; 40, "30-39",
        IF(EmpData[[#This Row],[Age]] &lt; 50, "40-49",
            "50+"
        )
    )
)</f>
        <v>40-49</v>
      </c>
    </row>
    <row r="25" spans="1:17" x14ac:dyDescent="0.35">
      <c r="A25" s="4" t="s">
        <v>93</v>
      </c>
      <c r="B25" s="2" t="s">
        <v>90</v>
      </c>
      <c r="C25" s="2" t="s">
        <v>42</v>
      </c>
      <c r="D25" s="2" t="s">
        <v>16</v>
      </c>
      <c r="E25" s="6">
        <v>28</v>
      </c>
      <c r="F25" s="2" t="s">
        <v>46</v>
      </c>
      <c r="G25" s="2" t="s">
        <v>86</v>
      </c>
      <c r="H25" s="1">
        <v>43347</v>
      </c>
      <c r="I25" s="1">
        <v>44581</v>
      </c>
      <c r="J25" s="3">
        <v>175836</v>
      </c>
      <c r="K25" s="2" t="s">
        <v>19</v>
      </c>
      <c r="L25" s="2" t="s">
        <v>20</v>
      </c>
      <c r="M25" s="6">
        <v>3</v>
      </c>
      <c r="N25" s="15">
        <f ca="1">DATEDIF(EmpData[Hire_Date], IF(EmpData[Exit_Date]="", TODAY(), EmpData[Exit_Date]), "Y")</f>
        <v>3</v>
      </c>
      <c r="O25" t="str">
        <f>IF(EmpData[Exit_Date]="","Active","Exited")</f>
        <v>Exited</v>
      </c>
      <c r="P25" t="str">
        <f ca="1">_xlfn.IFS(
EmpData[Tenure(Years)] &lt; 2,"New Staff",
EmpData[Tenure(Years)] &lt; 5,"Intermediate",
EmpData[Tenure(Years)] &lt; 10,"Experienced",
TRUE,"Veteran"
)</f>
        <v>Intermediate</v>
      </c>
      <c r="Q25" t="str">
        <f>IF(EmpData[[#This Row],[Age]] &lt; 30, "Under 30",
    IF(EmpData[[#This Row],[Age]] &lt; 40, "30-39",
        IF(EmpData[[#This Row],[Age]] &lt; 50, "40-49",
            "50+"
        )
    )
)</f>
        <v>Under 30</v>
      </c>
    </row>
    <row r="26" spans="1:17" x14ac:dyDescent="0.35">
      <c r="A26" s="4" t="s">
        <v>94</v>
      </c>
      <c r="B26" s="2" t="s">
        <v>27</v>
      </c>
      <c r="C26" s="2" t="s">
        <v>67</v>
      </c>
      <c r="D26" s="2" t="s">
        <v>16</v>
      </c>
      <c r="E26" s="6">
        <v>37</v>
      </c>
      <c r="F26" s="2" t="s">
        <v>37</v>
      </c>
      <c r="G26" s="2" t="s">
        <v>38</v>
      </c>
      <c r="H26" s="1">
        <v>42068</v>
      </c>
      <c r="J26" s="3">
        <v>40333</v>
      </c>
      <c r="K26" s="2" t="s">
        <v>39</v>
      </c>
      <c r="L26" s="2" t="s">
        <v>20</v>
      </c>
      <c r="M26" s="6">
        <v>3</v>
      </c>
      <c r="N26" s="15">
        <f ca="1">DATEDIF(EmpData[Hire_Date], IF(EmpData[Exit_Date]="", TODAY(), EmpData[Exit_Date]), "Y")</f>
        <v>10</v>
      </c>
      <c r="O26" t="str">
        <f>IF(EmpData[Exit_Date]="","Active","Exited")</f>
        <v>Active</v>
      </c>
      <c r="P26" t="str">
        <f ca="1">_xlfn.IFS(
EmpData[Tenure(Years)] &lt; 2,"New Staff",
EmpData[Tenure(Years)] &lt; 5,"Intermediate",
EmpData[Tenure(Years)] &lt; 10,"Experienced",
TRUE,"Veteran"
)</f>
        <v>Veteran</v>
      </c>
      <c r="Q26" t="str">
        <f>IF(EmpData[[#This Row],[Age]] &lt; 30, "Under 30",
    IF(EmpData[[#This Row],[Age]] &lt; 40, "30-39",
        IF(EmpData[[#This Row],[Age]] &lt; 50, "40-49",
            "50+"
        )
    )
)</f>
        <v>30-39</v>
      </c>
    </row>
    <row r="27" spans="1:17" x14ac:dyDescent="0.35">
      <c r="A27" s="4" t="s">
        <v>95</v>
      </c>
      <c r="B27" s="2" t="s">
        <v>96</v>
      </c>
      <c r="C27" s="2" t="s">
        <v>42</v>
      </c>
      <c r="D27" s="2" t="s">
        <v>29</v>
      </c>
      <c r="E27" s="6">
        <v>35</v>
      </c>
      <c r="F27" s="2" t="s">
        <v>17</v>
      </c>
      <c r="G27" s="2" t="s">
        <v>18</v>
      </c>
      <c r="H27" s="1">
        <v>44517</v>
      </c>
      <c r="J27" s="3">
        <v>195708</v>
      </c>
      <c r="K27" s="2" t="s">
        <v>32</v>
      </c>
      <c r="L27" s="2" t="s">
        <v>48</v>
      </c>
      <c r="M27" s="6">
        <v>3</v>
      </c>
      <c r="N27" s="15">
        <f ca="1">DATEDIF(EmpData[Hire_Date], IF(EmpData[Exit_Date]="", TODAY(), EmpData[Exit_Date]), "Y")</f>
        <v>4</v>
      </c>
      <c r="O27" t="str">
        <f>IF(EmpData[Exit_Date]="","Active","Exited")</f>
        <v>Active</v>
      </c>
      <c r="P27" t="str">
        <f ca="1">_xlfn.IFS(
EmpData[Tenure(Years)] &lt; 2,"New Staff",
EmpData[Tenure(Years)] &lt; 5,"Intermediate",
EmpData[Tenure(Years)] &lt; 10,"Experienced",
TRUE,"Veteran"
)</f>
        <v>Intermediate</v>
      </c>
      <c r="Q27" t="str">
        <f>IF(EmpData[[#This Row],[Age]] &lt; 30, "Under 30",
    IF(EmpData[[#This Row],[Age]] &lt; 40, "30-39",
        IF(EmpData[[#This Row],[Age]] &lt; 50, "40-49",
            "50+"
        )
    )
)</f>
        <v>30-39</v>
      </c>
    </row>
    <row r="28" spans="1:17" x14ac:dyDescent="0.35">
      <c r="A28" s="4" t="s">
        <v>97</v>
      </c>
      <c r="B28" s="2" t="s">
        <v>62</v>
      </c>
      <c r="C28" s="2" t="s">
        <v>28</v>
      </c>
      <c r="D28" s="2" t="s">
        <v>29</v>
      </c>
      <c r="E28" s="6">
        <v>44</v>
      </c>
      <c r="F28" s="2" t="s">
        <v>58</v>
      </c>
      <c r="G28" s="2" t="s">
        <v>98</v>
      </c>
      <c r="H28" s="1">
        <v>42989</v>
      </c>
      <c r="J28" s="3">
        <v>164149</v>
      </c>
      <c r="K28" s="2" t="s">
        <v>43</v>
      </c>
      <c r="L28" s="2" t="s">
        <v>33</v>
      </c>
      <c r="M28" s="6">
        <v>3</v>
      </c>
      <c r="N28" s="15">
        <f ca="1">DATEDIF(EmpData[Hire_Date], IF(EmpData[Exit_Date]="", TODAY(), EmpData[Exit_Date]), "Y")</f>
        <v>8</v>
      </c>
      <c r="O28" t="str">
        <f>IF(EmpData[Exit_Date]="","Active","Exited")</f>
        <v>Active</v>
      </c>
      <c r="P28" t="str">
        <f ca="1">_xlfn.IFS(
EmpData[Tenure(Years)] &lt; 2,"New Staff",
EmpData[Tenure(Years)] &lt; 5,"Intermediate",
EmpData[Tenure(Years)] &lt; 10,"Experienced",
TRUE,"Veteran"
)</f>
        <v>Experienced</v>
      </c>
      <c r="Q28" t="str">
        <f>IF(EmpData[[#This Row],[Age]] &lt; 30, "Under 30",
    IF(EmpData[[#This Row],[Age]] &lt; 40, "30-39",
        IF(EmpData[[#This Row],[Age]] &lt; 50, "40-49",
            "50+"
        )
    )
)</f>
        <v>40-49</v>
      </c>
    </row>
    <row r="29" spans="1:17" x14ac:dyDescent="0.35">
      <c r="A29" s="4" t="s">
        <v>99</v>
      </c>
      <c r="B29" s="2" t="s">
        <v>52</v>
      </c>
      <c r="C29" s="2" t="s">
        <v>100</v>
      </c>
      <c r="D29" s="2" t="s">
        <v>29</v>
      </c>
      <c r="E29" s="6">
        <v>54</v>
      </c>
      <c r="F29" s="2" t="s">
        <v>46</v>
      </c>
      <c r="G29" s="2" t="s">
        <v>88</v>
      </c>
      <c r="H29" s="1">
        <v>42249</v>
      </c>
      <c r="J29" s="3">
        <v>129909</v>
      </c>
      <c r="K29" s="2" t="s">
        <v>43</v>
      </c>
      <c r="L29" s="2" t="s">
        <v>48</v>
      </c>
      <c r="M29" s="6">
        <v>4</v>
      </c>
      <c r="N29" s="15">
        <f ca="1">DATEDIF(EmpData[Hire_Date], IF(EmpData[Exit_Date]="", TODAY(), EmpData[Exit_Date]), "Y")</f>
        <v>10</v>
      </c>
      <c r="O29" t="str">
        <f>IF(EmpData[Exit_Date]="","Active","Exited")</f>
        <v>Active</v>
      </c>
      <c r="P29" t="str">
        <f ca="1">_xlfn.IFS(
EmpData[Tenure(Years)] &lt; 2,"New Staff",
EmpData[Tenure(Years)] &lt; 5,"Intermediate",
EmpData[Tenure(Years)] &lt; 10,"Experienced",
TRUE,"Veteran"
)</f>
        <v>Veteran</v>
      </c>
      <c r="Q29" t="str">
        <f>IF(EmpData[[#This Row],[Age]] &lt; 30, "Under 30",
    IF(EmpData[[#This Row],[Age]] &lt; 40, "30-39",
        IF(EmpData[[#This Row],[Age]] &lt; 50, "40-49",
            "50+"
        )
    )
)</f>
        <v>50+</v>
      </c>
    </row>
    <row r="30" spans="1:17" x14ac:dyDescent="0.35">
      <c r="A30" s="4" t="s">
        <v>101</v>
      </c>
      <c r="B30" s="2" t="s">
        <v>41</v>
      </c>
      <c r="C30" s="2" t="s">
        <v>53</v>
      </c>
      <c r="D30" s="2" t="s">
        <v>16</v>
      </c>
      <c r="E30" s="6">
        <v>55</v>
      </c>
      <c r="F30" s="2" t="s">
        <v>17</v>
      </c>
      <c r="G30" s="2" t="s">
        <v>79</v>
      </c>
      <c r="H30" s="1">
        <v>44345</v>
      </c>
      <c r="J30" s="3">
        <v>104009</v>
      </c>
      <c r="K30" s="2" t="s">
        <v>43</v>
      </c>
      <c r="L30" s="2" t="s">
        <v>48</v>
      </c>
      <c r="M30" s="6">
        <v>2</v>
      </c>
      <c r="N30" s="15">
        <f ca="1">DATEDIF(EmpData[Hire_Date], IF(EmpData[Exit_Date]="", TODAY(), EmpData[Exit_Date]), "Y")</f>
        <v>4</v>
      </c>
      <c r="O30" t="str">
        <f>IF(EmpData[Exit_Date]="","Active","Exited")</f>
        <v>Active</v>
      </c>
      <c r="P30" t="str">
        <f ca="1">_xlfn.IFS(
EmpData[Tenure(Years)] &lt; 2,"New Staff",
EmpData[Tenure(Years)] &lt; 5,"Intermediate",
EmpData[Tenure(Years)] &lt; 10,"Experienced",
TRUE,"Veteran"
)</f>
        <v>Intermediate</v>
      </c>
      <c r="Q30" t="str">
        <f>IF(EmpData[[#This Row],[Age]] &lt; 30, "Under 30",
    IF(EmpData[[#This Row],[Age]] &lt; 40, "30-39",
        IF(EmpData[[#This Row],[Age]] &lt; 50, "40-49",
            "50+"
        )
    )
)</f>
        <v>50+</v>
      </c>
    </row>
    <row r="31" spans="1:17" x14ac:dyDescent="0.35">
      <c r="A31" s="4" t="s">
        <v>102</v>
      </c>
      <c r="B31" s="2" t="s">
        <v>50</v>
      </c>
      <c r="C31" s="2" t="s">
        <v>15</v>
      </c>
      <c r="D31" s="2" t="s">
        <v>16</v>
      </c>
      <c r="E31" s="6">
        <v>31</v>
      </c>
      <c r="F31" s="2" t="s">
        <v>24</v>
      </c>
      <c r="G31" s="2" t="s">
        <v>74</v>
      </c>
      <c r="H31" s="1">
        <v>42192</v>
      </c>
      <c r="I31" s="1">
        <v>44422</v>
      </c>
      <c r="J31" s="3">
        <v>154618</v>
      </c>
      <c r="K31" s="2" t="s">
        <v>39</v>
      </c>
      <c r="L31" s="2" t="s">
        <v>20</v>
      </c>
      <c r="M31" s="6">
        <v>5</v>
      </c>
      <c r="N31" s="15">
        <f ca="1">DATEDIF(EmpData[Hire_Date], IF(EmpData[Exit_Date]="", TODAY(), EmpData[Exit_Date]), "Y")</f>
        <v>6</v>
      </c>
      <c r="O31" t="str">
        <f>IF(EmpData[Exit_Date]="","Active","Exited")</f>
        <v>Exited</v>
      </c>
      <c r="P31" t="str">
        <f ca="1">_xlfn.IFS(
EmpData[Tenure(Years)] &lt; 2,"New Staff",
EmpData[Tenure(Years)] &lt; 5,"Intermediate",
EmpData[Tenure(Years)] &lt; 10,"Experienced",
TRUE,"Veteran"
)</f>
        <v>Experienced</v>
      </c>
      <c r="Q31" t="str">
        <f>IF(EmpData[[#This Row],[Age]] &lt; 30, "Under 30",
    IF(EmpData[[#This Row],[Age]] &lt; 40, "30-39",
        IF(EmpData[[#This Row],[Age]] &lt; 50, "40-49",
            "50+"
        )
    )
)</f>
        <v>30-39</v>
      </c>
    </row>
    <row r="32" spans="1:17" x14ac:dyDescent="0.35">
      <c r="A32" s="4" t="s">
        <v>103</v>
      </c>
      <c r="B32" s="2" t="s">
        <v>90</v>
      </c>
      <c r="C32" s="2" t="s">
        <v>45</v>
      </c>
      <c r="D32" s="2" t="s">
        <v>16</v>
      </c>
      <c r="E32" s="6">
        <v>38</v>
      </c>
      <c r="F32" s="2" t="s">
        <v>30</v>
      </c>
      <c r="G32" s="2" t="s">
        <v>104</v>
      </c>
      <c r="H32" s="1">
        <v>42882</v>
      </c>
      <c r="J32" s="3">
        <v>170577</v>
      </c>
      <c r="K32" s="2" t="s">
        <v>43</v>
      </c>
      <c r="L32" s="2" t="s">
        <v>20</v>
      </c>
      <c r="M32" s="6">
        <v>1</v>
      </c>
      <c r="N32" s="15">
        <f ca="1">DATEDIF(EmpData[Hire_Date], IF(EmpData[Exit_Date]="", TODAY(), EmpData[Exit_Date]), "Y")</f>
        <v>8</v>
      </c>
      <c r="O32" t="str">
        <f>IF(EmpData[Exit_Date]="","Active","Exited")</f>
        <v>Active</v>
      </c>
      <c r="P32" t="str">
        <f ca="1">_xlfn.IFS(
EmpData[Tenure(Years)] &lt; 2,"New Staff",
EmpData[Tenure(Years)] &lt; 5,"Intermediate",
EmpData[Tenure(Years)] &lt; 10,"Experienced",
TRUE,"Veteran"
)</f>
        <v>Experienced</v>
      </c>
      <c r="Q32" t="str">
        <f>IF(EmpData[[#This Row],[Age]] &lt; 30, "Under 30",
    IF(EmpData[[#This Row],[Age]] &lt; 40, "30-39",
        IF(EmpData[[#This Row],[Age]] &lt; 50, "40-49",
            "50+"
        )
    )
)</f>
        <v>30-39</v>
      </c>
    </row>
    <row r="33" spans="1:17" x14ac:dyDescent="0.35">
      <c r="A33" s="4" t="s">
        <v>105</v>
      </c>
      <c r="B33" s="2" t="s">
        <v>82</v>
      </c>
      <c r="C33" s="2" t="s">
        <v>45</v>
      </c>
      <c r="D33" s="2" t="s">
        <v>29</v>
      </c>
      <c r="E33" s="6">
        <v>47</v>
      </c>
      <c r="F33" s="2" t="s">
        <v>58</v>
      </c>
      <c r="G33" s="2" t="s">
        <v>98</v>
      </c>
      <c r="H33" s="1">
        <v>43789</v>
      </c>
      <c r="J33" s="3">
        <v>149280</v>
      </c>
      <c r="K33" s="2" t="s">
        <v>32</v>
      </c>
      <c r="L33" s="2" t="s">
        <v>33</v>
      </c>
      <c r="M33" s="6">
        <v>5</v>
      </c>
      <c r="N33" s="15">
        <f ca="1">DATEDIF(EmpData[Hire_Date], IF(EmpData[Exit_Date]="", TODAY(), EmpData[Exit_Date]), "Y")</f>
        <v>6</v>
      </c>
      <c r="O33" t="str">
        <f>IF(EmpData[Exit_Date]="","Active","Exited")</f>
        <v>Active</v>
      </c>
      <c r="P33" t="str">
        <f ca="1">_xlfn.IFS(
EmpData[Tenure(Years)] &lt; 2,"New Staff",
EmpData[Tenure(Years)] &lt; 5,"Intermediate",
EmpData[Tenure(Years)] &lt; 10,"Experienced",
TRUE,"Veteran"
)</f>
        <v>Experienced</v>
      </c>
      <c r="Q33" t="str">
        <f>IF(EmpData[[#This Row],[Age]] &lt; 30, "Under 30",
    IF(EmpData[[#This Row],[Age]] &lt; 40, "30-39",
        IF(EmpData[[#This Row],[Age]] &lt; 50, "40-49",
            "50+"
        )
    )
)</f>
        <v>40-49</v>
      </c>
    </row>
    <row r="34" spans="1:17" x14ac:dyDescent="0.35">
      <c r="A34" s="4" t="s">
        <v>106</v>
      </c>
      <c r="B34" s="2" t="s">
        <v>50</v>
      </c>
      <c r="C34" s="2" t="s">
        <v>91</v>
      </c>
      <c r="D34" s="2" t="s">
        <v>29</v>
      </c>
      <c r="E34" s="6">
        <v>51</v>
      </c>
      <c r="F34" s="2" t="s">
        <v>68</v>
      </c>
      <c r="G34" s="2" t="s">
        <v>107</v>
      </c>
      <c r="H34" s="1">
        <v>43760</v>
      </c>
      <c r="J34" s="3">
        <v>79574</v>
      </c>
      <c r="K34" s="2" t="s">
        <v>19</v>
      </c>
      <c r="L34" s="2" t="s">
        <v>48</v>
      </c>
      <c r="M34" s="6">
        <v>1</v>
      </c>
      <c r="N34" s="15">
        <f ca="1">DATEDIF(EmpData[Hire_Date], IF(EmpData[Exit_Date]="", TODAY(), EmpData[Exit_Date]), "Y")</f>
        <v>6</v>
      </c>
      <c r="O34" t="str">
        <f>IF(EmpData[Exit_Date]="","Active","Exited")</f>
        <v>Active</v>
      </c>
      <c r="P34" t="str">
        <f ca="1">_xlfn.IFS(
EmpData[Tenure(Years)] &lt; 2,"New Staff",
EmpData[Tenure(Years)] &lt; 5,"Intermediate",
EmpData[Tenure(Years)] &lt; 10,"Experienced",
TRUE,"Veteran"
)</f>
        <v>Experienced</v>
      </c>
      <c r="Q34" t="str">
        <f>IF(EmpData[[#This Row],[Age]] &lt; 30, "Under 30",
    IF(EmpData[[#This Row],[Age]] &lt; 40, "30-39",
        IF(EmpData[[#This Row],[Age]] &lt; 50, "40-49",
            "50+"
        )
    )
)</f>
        <v>50+</v>
      </c>
    </row>
    <row r="35" spans="1:17" x14ac:dyDescent="0.35">
      <c r="A35" s="4" t="s">
        <v>108</v>
      </c>
      <c r="B35" s="2" t="s">
        <v>50</v>
      </c>
      <c r="C35" s="2" t="s">
        <v>109</v>
      </c>
      <c r="D35" s="2" t="s">
        <v>29</v>
      </c>
      <c r="E35" s="6">
        <v>47</v>
      </c>
      <c r="F35" s="2" t="s">
        <v>46</v>
      </c>
      <c r="G35" s="2" t="s">
        <v>88</v>
      </c>
      <c r="H35" s="1">
        <v>43507</v>
      </c>
      <c r="I35" s="1">
        <v>43601</v>
      </c>
      <c r="J35" s="3">
        <v>84607</v>
      </c>
      <c r="K35" s="2" t="s">
        <v>43</v>
      </c>
      <c r="L35" s="2" t="s">
        <v>33</v>
      </c>
      <c r="M35" s="6">
        <v>1</v>
      </c>
      <c r="N35" s="15">
        <f ca="1">DATEDIF(EmpData[Hire_Date], IF(EmpData[Exit_Date]="", TODAY(), EmpData[Exit_Date]), "Y")</f>
        <v>0</v>
      </c>
      <c r="O35" t="str">
        <f>IF(EmpData[Exit_Date]="","Active","Exited")</f>
        <v>Exited</v>
      </c>
      <c r="P35" t="str">
        <f ca="1">_xlfn.IFS(
EmpData[Tenure(Years)] &lt; 2,"New Staff",
EmpData[Tenure(Years)] &lt; 5,"Intermediate",
EmpData[Tenure(Years)] &lt; 10,"Experienced",
TRUE,"Veteran"
)</f>
        <v>New Staff</v>
      </c>
      <c r="Q35" t="str">
        <f>IF(EmpData[[#This Row],[Age]] &lt; 30, "Under 30",
    IF(EmpData[[#This Row],[Age]] &lt; 40, "30-39",
        IF(EmpData[[#This Row],[Age]] &lt; 50, "40-49",
            "50+"
        )
    )
)</f>
        <v>40-49</v>
      </c>
    </row>
    <row r="36" spans="1:17" x14ac:dyDescent="0.35">
      <c r="A36" s="4" t="s">
        <v>110</v>
      </c>
      <c r="B36" s="2" t="s">
        <v>14</v>
      </c>
      <c r="C36" s="2" t="s">
        <v>23</v>
      </c>
      <c r="D36" s="2" t="s">
        <v>16</v>
      </c>
      <c r="E36" s="6">
        <v>54</v>
      </c>
      <c r="F36" s="2" t="s">
        <v>68</v>
      </c>
      <c r="G36" s="2" t="s">
        <v>69</v>
      </c>
      <c r="H36" s="1">
        <v>43199</v>
      </c>
      <c r="J36" s="3">
        <v>75996</v>
      </c>
      <c r="K36" s="2" t="s">
        <v>19</v>
      </c>
      <c r="L36" s="2" t="s">
        <v>48</v>
      </c>
      <c r="M36" s="6">
        <v>1</v>
      </c>
      <c r="N36" s="15">
        <f ca="1">DATEDIF(EmpData[Hire_Date], IF(EmpData[Exit_Date]="", TODAY(), EmpData[Exit_Date]), "Y")</f>
        <v>7</v>
      </c>
      <c r="O36" t="str">
        <f>IF(EmpData[Exit_Date]="","Active","Exited")</f>
        <v>Active</v>
      </c>
      <c r="P36" t="str">
        <f ca="1">_xlfn.IFS(
EmpData[Tenure(Years)] &lt; 2,"New Staff",
EmpData[Tenure(Years)] &lt; 5,"Intermediate",
EmpData[Tenure(Years)] &lt; 10,"Experienced",
TRUE,"Veteran"
)</f>
        <v>Experienced</v>
      </c>
      <c r="Q36" t="str">
        <f>IF(EmpData[[#This Row],[Age]] &lt; 30, "Under 30",
    IF(EmpData[[#This Row],[Age]] &lt; 40, "30-39",
        IF(EmpData[[#This Row],[Age]] &lt; 50, "40-49",
            "50+"
        )
    )
)</f>
        <v>50+</v>
      </c>
    </row>
    <row r="37" spans="1:17" x14ac:dyDescent="0.35">
      <c r="A37" s="4" t="s">
        <v>111</v>
      </c>
      <c r="B37" s="2" t="s">
        <v>14</v>
      </c>
      <c r="C37" s="2" t="s">
        <v>36</v>
      </c>
      <c r="D37" s="2" t="s">
        <v>16</v>
      </c>
      <c r="E37" s="6">
        <v>46</v>
      </c>
      <c r="F37" s="2" t="s">
        <v>24</v>
      </c>
      <c r="G37" s="2" t="s">
        <v>92</v>
      </c>
      <c r="H37" s="1">
        <v>45514</v>
      </c>
      <c r="J37" s="3">
        <v>102698</v>
      </c>
      <c r="K37" s="2" t="s">
        <v>32</v>
      </c>
      <c r="L37" s="2" t="s">
        <v>48</v>
      </c>
      <c r="M37" s="6">
        <v>2</v>
      </c>
      <c r="N37" s="15">
        <f ca="1">DATEDIF(EmpData[Hire_Date], IF(EmpData[Exit_Date]="", TODAY(), EmpData[Exit_Date]), "Y")</f>
        <v>1</v>
      </c>
      <c r="O37" t="str">
        <f>IF(EmpData[Exit_Date]="","Active","Exited")</f>
        <v>Active</v>
      </c>
      <c r="P37" t="str">
        <f ca="1">_xlfn.IFS(
EmpData[Tenure(Years)] &lt; 2,"New Staff",
EmpData[Tenure(Years)] &lt; 5,"Intermediate",
EmpData[Tenure(Years)] &lt; 10,"Experienced",
TRUE,"Veteran"
)</f>
        <v>New Staff</v>
      </c>
      <c r="Q37" t="str">
        <f>IF(EmpData[[#This Row],[Age]] &lt; 30, "Under 30",
    IF(EmpData[[#This Row],[Age]] &lt; 40, "30-39",
        IF(EmpData[[#This Row],[Age]] &lt; 50, "40-49",
            "50+"
        )
    )
)</f>
        <v>40-49</v>
      </c>
    </row>
    <row r="38" spans="1:17" x14ac:dyDescent="0.35">
      <c r="A38" s="4" t="s">
        <v>112</v>
      </c>
      <c r="B38" s="2" t="s">
        <v>62</v>
      </c>
      <c r="C38" s="2" t="s">
        <v>45</v>
      </c>
      <c r="D38" s="2" t="s">
        <v>29</v>
      </c>
      <c r="E38" s="6">
        <v>42</v>
      </c>
      <c r="F38" s="2" t="s">
        <v>17</v>
      </c>
      <c r="G38" s="2" t="s">
        <v>79</v>
      </c>
      <c r="H38" s="1">
        <v>42189</v>
      </c>
      <c r="J38" s="3">
        <v>191791</v>
      </c>
      <c r="K38" s="2" t="s">
        <v>39</v>
      </c>
      <c r="L38" s="2" t="s">
        <v>48</v>
      </c>
      <c r="M38" s="6">
        <v>1</v>
      </c>
      <c r="N38" s="15">
        <f ca="1">DATEDIF(EmpData[Hire_Date], IF(EmpData[Exit_Date]="", TODAY(), EmpData[Exit_Date]), "Y")</f>
        <v>10</v>
      </c>
      <c r="O38" t="str">
        <f>IF(EmpData[Exit_Date]="","Active","Exited")</f>
        <v>Active</v>
      </c>
      <c r="P38" t="str">
        <f ca="1">_xlfn.IFS(
EmpData[Tenure(Years)] &lt; 2,"New Staff",
EmpData[Tenure(Years)] &lt; 5,"Intermediate",
EmpData[Tenure(Years)] &lt; 10,"Experienced",
TRUE,"Veteran"
)</f>
        <v>Veteran</v>
      </c>
      <c r="Q38" t="str">
        <f>IF(EmpData[[#This Row],[Age]] &lt; 30, "Under 30",
    IF(EmpData[[#This Row],[Age]] &lt; 40, "30-39",
        IF(EmpData[[#This Row],[Age]] &lt; 50, "40-49",
            "50+"
        )
    )
)</f>
        <v>40-49</v>
      </c>
    </row>
    <row r="39" spans="1:17" x14ac:dyDescent="0.35">
      <c r="A39" s="4" t="s">
        <v>113</v>
      </c>
      <c r="B39" s="2" t="s">
        <v>114</v>
      </c>
      <c r="C39" s="2" t="s">
        <v>115</v>
      </c>
      <c r="D39" s="2" t="s">
        <v>16</v>
      </c>
      <c r="E39" s="6">
        <v>31</v>
      </c>
      <c r="F39" s="2" t="s">
        <v>68</v>
      </c>
      <c r="G39" s="2" t="s">
        <v>107</v>
      </c>
      <c r="H39" s="1">
        <v>44021</v>
      </c>
      <c r="J39" s="3">
        <v>122348</v>
      </c>
      <c r="K39" s="2" t="s">
        <v>19</v>
      </c>
      <c r="L39" s="2" t="s">
        <v>20</v>
      </c>
      <c r="M39" s="6">
        <v>3</v>
      </c>
      <c r="N39" s="15">
        <f ca="1">DATEDIF(EmpData[Hire_Date], IF(EmpData[Exit_Date]="", TODAY(), EmpData[Exit_Date]), "Y")</f>
        <v>5</v>
      </c>
      <c r="O39" t="str">
        <f>IF(EmpData[Exit_Date]="","Active","Exited")</f>
        <v>Active</v>
      </c>
      <c r="P39" t="str">
        <f ca="1">_xlfn.IFS(
EmpData[Tenure(Years)] &lt; 2,"New Staff",
EmpData[Tenure(Years)] &lt; 5,"Intermediate",
EmpData[Tenure(Years)] &lt; 10,"Experienced",
TRUE,"Veteran"
)</f>
        <v>Experienced</v>
      </c>
      <c r="Q39" t="str">
        <f>IF(EmpData[[#This Row],[Age]] &lt; 30, "Under 30",
    IF(EmpData[[#This Row],[Age]] &lt; 40, "30-39",
        IF(EmpData[[#This Row],[Age]] &lt; 50, "40-49",
            "50+"
        )
    )
)</f>
        <v>30-39</v>
      </c>
    </row>
    <row r="40" spans="1:17" x14ac:dyDescent="0.35">
      <c r="A40" s="4" t="s">
        <v>116</v>
      </c>
      <c r="B40" s="2" t="s">
        <v>114</v>
      </c>
      <c r="C40" s="2" t="s">
        <v>67</v>
      </c>
      <c r="D40" s="2" t="s">
        <v>16</v>
      </c>
      <c r="E40" s="6">
        <v>28</v>
      </c>
      <c r="F40" s="2" t="s">
        <v>17</v>
      </c>
      <c r="G40" s="2" t="s">
        <v>79</v>
      </c>
      <c r="H40" s="1">
        <v>44371</v>
      </c>
      <c r="J40" s="3">
        <v>110475</v>
      </c>
      <c r="K40" s="2" t="s">
        <v>43</v>
      </c>
      <c r="L40" s="2" t="s">
        <v>48</v>
      </c>
      <c r="M40" s="6">
        <v>2</v>
      </c>
      <c r="N40" s="15">
        <f ca="1">DATEDIF(EmpData[Hire_Date], IF(EmpData[Exit_Date]="", TODAY(), EmpData[Exit_Date]), "Y")</f>
        <v>4</v>
      </c>
      <c r="O40" t="str">
        <f>IF(EmpData[Exit_Date]="","Active","Exited")</f>
        <v>Active</v>
      </c>
      <c r="P40" t="str">
        <f ca="1">_xlfn.IFS(
EmpData[Tenure(Years)] &lt; 2,"New Staff",
EmpData[Tenure(Years)] &lt; 5,"Intermediate",
EmpData[Tenure(Years)] &lt; 10,"Experienced",
TRUE,"Veteran"
)</f>
        <v>Intermediate</v>
      </c>
      <c r="Q40" t="str">
        <f>IF(EmpData[[#This Row],[Age]] &lt; 30, "Under 30",
    IF(EmpData[[#This Row],[Age]] &lt; 40, "30-39",
        IF(EmpData[[#This Row],[Age]] &lt; 50, "40-49",
            "50+"
        )
    )
)</f>
        <v>Under 30</v>
      </c>
    </row>
    <row r="41" spans="1:17" x14ac:dyDescent="0.35">
      <c r="A41" s="4" t="s">
        <v>117</v>
      </c>
      <c r="B41" s="2" t="s">
        <v>22</v>
      </c>
      <c r="C41" s="2" t="s">
        <v>42</v>
      </c>
      <c r="D41" s="2" t="s">
        <v>29</v>
      </c>
      <c r="E41" s="6">
        <v>40</v>
      </c>
      <c r="F41" s="2" t="s">
        <v>68</v>
      </c>
      <c r="G41" s="2" t="s">
        <v>69</v>
      </c>
      <c r="H41" s="1">
        <v>43344</v>
      </c>
      <c r="I41" s="1">
        <v>45051</v>
      </c>
      <c r="J41" s="3">
        <v>67971</v>
      </c>
      <c r="K41" s="2" t="s">
        <v>43</v>
      </c>
      <c r="L41" s="2" t="s">
        <v>20</v>
      </c>
      <c r="M41" s="6">
        <v>1</v>
      </c>
      <c r="N41" s="15">
        <f ca="1">DATEDIF(EmpData[Hire_Date], IF(EmpData[Exit_Date]="", TODAY(), EmpData[Exit_Date]), "Y")</f>
        <v>4</v>
      </c>
      <c r="O41" t="str">
        <f>IF(EmpData[Exit_Date]="","Active","Exited")</f>
        <v>Exited</v>
      </c>
      <c r="P41" t="str">
        <f ca="1">_xlfn.IFS(
EmpData[Tenure(Years)] &lt; 2,"New Staff",
EmpData[Tenure(Years)] &lt; 5,"Intermediate",
EmpData[Tenure(Years)] &lt; 10,"Experienced",
TRUE,"Veteran"
)</f>
        <v>Intermediate</v>
      </c>
      <c r="Q41" t="str">
        <f>IF(EmpData[[#This Row],[Age]] &lt; 30, "Under 30",
    IF(EmpData[[#This Row],[Age]] &lt; 40, "30-39",
        IF(EmpData[[#This Row],[Age]] &lt; 50, "40-49",
            "50+"
        )
    )
)</f>
        <v>40-49</v>
      </c>
    </row>
    <row r="42" spans="1:17" x14ac:dyDescent="0.35">
      <c r="A42" s="4" t="s">
        <v>118</v>
      </c>
      <c r="B42" s="2" t="s">
        <v>119</v>
      </c>
      <c r="C42" s="2" t="s">
        <v>42</v>
      </c>
      <c r="D42" s="2" t="s">
        <v>29</v>
      </c>
      <c r="E42" s="6">
        <v>49</v>
      </c>
      <c r="F42" s="2" t="s">
        <v>68</v>
      </c>
      <c r="G42" s="2" t="s">
        <v>69</v>
      </c>
      <c r="H42" s="1">
        <v>43850</v>
      </c>
      <c r="I42" s="1">
        <v>44108</v>
      </c>
      <c r="J42" s="3">
        <v>112261</v>
      </c>
      <c r="K42" s="2" t="s">
        <v>39</v>
      </c>
      <c r="L42" s="2" t="s">
        <v>33</v>
      </c>
      <c r="M42" s="6">
        <v>1</v>
      </c>
      <c r="N42" s="15">
        <f ca="1">DATEDIF(EmpData[Hire_Date], IF(EmpData[Exit_Date]="", TODAY(), EmpData[Exit_Date]), "Y")</f>
        <v>0</v>
      </c>
      <c r="O42" t="str">
        <f>IF(EmpData[Exit_Date]="","Active","Exited")</f>
        <v>Exited</v>
      </c>
      <c r="P42" t="str">
        <f ca="1">_xlfn.IFS(
EmpData[Tenure(Years)] &lt; 2,"New Staff",
EmpData[Tenure(Years)] &lt; 5,"Intermediate",
EmpData[Tenure(Years)] &lt; 10,"Experienced",
TRUE,"Veteran"
)</f>
        <v>New Staff</v>
      </c>
      <c r="Q42" t="str">
        <f>IF(EmpData[[#This Row],[Age]] &lt; 30, "Under 30",
    IF(EmpData[[#This Row],[Age]] &lt; 40, "30-39",
        IF(EmpData[[#This Row],[Age]] &lt; 50, "40-49",
            "50+"
        )
    )
)</f>
        <v>40-49</v>
      </c>
    </row>
    <row r="43" spans="1:17" x14ac:dyDescent="0.35">
      <c r="A43" s="4" t="s">
        <v>120</v>
      </c>
      <c r="B43" s="2" t="s">
        <v>35</v>
      </c>
      <c r="C43" s="2" t="s">
        <v>121</v>
      </c>
      <c r="D43" s="2" t="s">
        <v>16</v>
      </c>
      <c r="E43" s="6">
        <v>53</v>
      </c>
      <c r="F43" s="2" t="s">
        <v>46</v>
      </c>
      <c r="G43" s="2" t="s">
        <v>86</v>
      </c>
      <c r="H43" s="1">
        <v>44132</v>
      </c>
      <c r="J43" s="3">
        <v>179791</v>
      </c>
      <c r="K43" s="2" t="s">
        <v>39</v>
      </c>
      <c r="L43" s="2" t="s">
        <v>33</v>
      </c>
      <c r="M43" s="6">
        <v>3</v>
      </c>
      <c r="N43" s="15">
        <f ca="1">DATEDIF(EmpData[Hire_Date], IF(EmpData[Exit_Date]="", TODAY(), EmpData[Exit_Date]), "Y")</f>
        <v>5</v>
      </c>
      <c r="O43" t="str">
        <f>IF(EmpData[Exit_Date]="","Active","Exited")</f>
        <v>Active</v>
      </c>
      <c r="P43" t="str">
        <f ca="1">_xlfn.IFS(
EmpData[Tenure(Years)] &lt; 2,"New Staff",
EmpData[Tenure(Years)] &lt; 5,"Intermediate",
EmpData[Tenure(Years)] &lt; 10,"Experienced",
TRUE,"Veteran"
)</f>
        <v>Experienced</v>
      </c>
      <c r="Q43" t="str">
        <f>IF(EmpData[[#This Row],[Age]] &lt; 30, "Under 30",
    IF(EmpData[[#This Row],[Age]] &lt; 40, "30-39",
        IF(EmpData[[#This Row],[Age]] &lt; 50, "40-49",
            "50+"
        )
    )
)</f>
        <v>50+</v>
      </c>
    </row>
    <row r="44" spans="1:17" x14ac:dyDescent="0.35">
      <c r="A44" s="4" t="s">
        <v>122</v>
      </c>
      <c r="B44" s="2" t="s">
        <v>123</v>
      </c>
      <c r="C44" s="2" t="s">
        <v>100</v>
      </c>
      <c r="D44" s="2" t="s">
        <v>29</v>
      </c>
      <c r="E44" s="6">
        <v>40</v>
      </c>
      <c r="F44" s="2" t="s">
        <v>68</v>
      </c>
      <c r="G44" s="2" t="s">
        <v>124</v>
      </c>
      <c r="H44" s="1">
        <v>42018</v>
      </c>
      <c r="J44" s="3">
        <v>133807</v>
      </c>
      <c r="K44" s="2" t="s">
        <v>19</v>
      </c>
      <c r="L44" s="2" t="s">
        <v>33</v>
      </c>
      <c r="M44" s="6">
        <v>2</v>
      </c>
      <c r="N44" s="15">
        <f ca="1">DATEDIF(EmpData[Hire_Date], IF(EmpData[Exit_Date]="", TODAY(), EmpData[Exit_Date]), "Y")</f>
        <v>10</v>
      </c>
      <c r="O44" t="str">
        <f>IF(EmpData[Exit_Date]="","Active","Exited")</f>
        <v>Active</v>
      </c>
      <c r="P44" t="str">
        <f ca="1">_xlfn.IFS(
EmpData[Tenure(Years)] &lt; 2,"New Staff",
EmpData[Tenure(Years)] &lt; 5,"Intermediate",
EmpData[Tenure(Years)] &lt; 10,"Experienced",
TRUE,"Veteran"
)</f>
        <v>Veteran</v>
      </c>
      <c r="Q44" t="str">
        <f>IF(EmpData[[#This Row],[Age]] &lt; 30, "Under 30",
    IF(EmpData[[#This Row],[Age]] &lt; 40, "30-39",
        IF(EmpData[[#This Row],[Age]] &lt; 50, "40-49",
            "50+"
        )
    )
)</f>
        <v>40-49</v>
      </c>
    </row>
    <row r="45" spans="1:17" x14ac:dyDescent="0.35">
      <c r="A45" s="4" t="s">
        <v>125</v>
      </c>
      <c r="B45" s="2" t="s">
        <v>84</v>
      </c>
      <c r="C45" s="2" t="s">
        <v>53</v>
      </c>
      <c r="D45" s="2" t="s">
        <v>16</v>
      </c>
      <c r="E45" s="6">
        <v>47</v>
      </c>
      <c r="F45" s="2" t="s">
        <v>24</v>
      </c>
      <c r="G45" s="2" t="s">
        <v>25</v>
      </c>
      <c r="H45" s="1">
        <v>43580</v>
      </c>
      <c r="J45" s="3">
        <v>144558</v>
      </c>
      <c r="K45" s="2" t="s">
        <v>19</v>
      </c>
      <c r="L45" s="2" t="s">
        <v>33</v>
      </c>
      <c r="M45" s="6">
        <v>2</v>
      </c>
      <c r="N45" s="15">
        <f ca="1">DATEDIF(EmpData[Hire_Date], IF(EmpData[Exit_Date]="", TODAY(), EmpData[Exit_Date]), "Y")</f>
        <v>6</v>
      </c>
      <c r="O45" t="str">
        <f>IF(EmpData[Exit_Date]="","Active","Exited")</f>
        <v>Active</v>
      </c>
      <c r="P45" t="str">
        <f ca="1">_xlfn.IFS(
EmpData[Tenure(Years)] &lt; 2,"New Staff",
EmpData[Tenure(Years)] &lt; 5,"Intermediate",
EmpData[Tenure(Years)] &lt; 10,"Experienced",
TRUE,"Veteran"
)</f>
        <v>Experienced</v>
      </c>
      <c r="Q45" t="str">
        <f>IF(EmpData[[#This Row],[Age]] &lt; 30, "Under 30",
    IF(EmpData[[#This Row],[Age]] &lt; 40, "30-39",
        IF(EmpData[[#This Row],[Age]] &lt; 50, "40-49",
            "50+"
        )
    )
)</f>
        <v>40-49</v>
      </c>
    </row>
    <row r="46" spans="1:17" x14ac:dyDescent="0.35">
      <c r="A46" s="4" t="s">
        <v>126</v>
      </c>
      <c r="B46" s="2" t="s">
        <v>35</v>
      </c>
      <c r="C46" s="2" t="s">
        <v>53</v>
      </c>
      <c r="D46" s="2" t="s">
        <v>16</v>
      </c>
      <c r="E46" s="6">
        <v>51</v>
      </c>
      <c r="F46" s="2" t="s">
        <v>24</v>
      </c>
      <c r="G46" s="2" t="s">
        <v>25</v>
      </c>
      <c r="H46" s="1">
        <v>43765</v>
      </c>
      <c r="J46" s="3">
        <v>197081</v>
      </c>
      <c r="K46" s="2" t="s">
        <v>39</v>
      </c>
      <c r="L46" s="2" t="s">
        <v>33</v>
      </c>
      <c r="M46" s="6">
        <v>1</v>
      </c>
      <c r="N46" s="15">
        <f ca="1">DATEDIF(EmpData[Hire_Date], IF(EmpData[Exit_Date]="", TODAY(), EmpData[Exit_Date]), "Y")</f>
        <v>6</v>
      </c>
      <c r="O46" t="str">
        <f>IF(EmpData[Exit_Date]="","Active","Exited")</f>
        <v>Active</v>
      </c>
      <c r="P46" t="str">
        <f ca="1">_xlfn.IFS(
EmpData[Tenure(Years)] &lt; 2,"New Staff",
EmpData[Tenure(Years)] &lt; 5,"Intermediate",
EmpData[Tenure(Years)] &lt; 10,"Experienced",
TRUE,"Veteran"
)</f>
        <v>Experienced</v>
      </c>
      <c r="Q46" t="str">
        <f>IF(EmpData[[#This Row],[Age]] &lt; 30, "Under 30",
    IF(EmpData[[#This Row],[Age]] &lt; 40, "30-39",
        IF(EmpData[[#This Row],[Age]] &lt; 50, "40-49",
            "50+"
        )
    )
)</f>
        <v>50+</v>
      </c>
    </row>
    <row r="47" spans="1:17" x14ac:dyDescent="0.35">
      <c r="A47" s="4" t="s">
        <v>127</v>
      </c>
      <c r="B47" s="2" t="s">
        <v>76</v>
      </c>
      <c r="C47" s="2" t="s">
        <v>23</v>
      </c>
      <c r="D47" s="2" t="s">
        <v>16</v>
      </c>
      <c r="E47" s="6">
        <v>51</v>
      </c>
      <c r="F47" s="2" t="s">
        <v>30</v>
      </c>
      <c r="G47" s="2" t="s">
        <v>104</v>
      </c>
      <c r="H47" s="1">
        <v>43180</v>
      </c>
      <c r="I47" s="1">
        <v>43387</v>
      </c>
      <c r="J47" s="3">
        <v>193540</v>
      </c>
      <c r="K47" s="2" t="s">
        <v>19</v>
      </c>
      <c r="L47" s="2" t="s">
        <v>48</v>
      </c>
      <c r="M47" s="6">
        <v>2</v>
      </c>
      <c r="N47" s="15">
        <f ca="1">DATEDIF(EmpData[Hire_Date], IF(EmpData[Exit_Date]="", TODAY(), EmpData[Exit_Date]), "Y")</f>
        <v>0</v>
      </c>
      <c r="O47" t="str">
        <f>IF(EmpData[Exit_Date]="","Active","Exited")</f>
        <v>Exited</v>
      </c>
      <c r="P47" t="str">
        <f ca="1">_xlfn.IFS(
EmpData[Tenure(Years)] &lt; 2,"New Staff",
EmpData[Tenure(Years)] &lt; 5,"Intermediate",
EmpData[Tenure(Years)] &lt; 10,"Experienced",
TRUE,"Veteran"
)</f>
        <v>New Staff</v>
      </c>
      <c r="Q47" t="str">
        <f>IF(EmpData[[#This Row],[Age]] &lt; 30, "Under 30",
    IF(EmpData[[#This Row],[Age]] &lt; 40, "30-39",
        IF(EmpData[[#This Row],[Age]] &lt; 50, "40-49",
            "50+"
        )
    )
)</f>
        <v>50+</v>
      </c>
    </row>
    <row r="48" spans="1:17" x14ac:dyDescent="0.35">
      <c r="A48" s="4" t="s">
        <v>128</v>
      </c>
      <c r="B48" s="2" t="s">
        <v>78</v>
      </c>
      <c r="C48" s="2" t="s">
        <v>53</v>
      </c>
      <c r="D48" s="2" t="s">
        <v>16</v>
      </c>
      <c r="E48" s="6">
        <v>31</v>
      </c>
      <c r="F48" s="2" t="s">
        <v>30</v>
      </c>
      <c r="G48" s="2" t="s">
        <v>104</v>
      </c>
      <c r="H48" s="1">
        <v>42313</v>
      </c>
      <c r="I48" s="1">
        <v>42674</v>
      </c>
      <c r="J48" s="3">
        <v>110052</v>
      </c>
      <c r="K48" s="2" t="s">
        <v>43</v>
      </c>
      <c r="L48" s="2" t="s">
        <v>33</v>
      </c>
      <c r="M48" s="6">
        <v>4</v>
      </c>
      <c r="N48" s="15">
        <f ca="1">DATEDIF(EmpData[Hire_Date], IF(EmpData[Exit_Date]="", TODAY(), EmpData[Exit_Date]), "Y")</f>
        <v>0</v>
      </c>
      <c r="O48" t="str">
        <f>IF(EmpData[Exit_Date]="","Active","Exited")</f>
        <v>Exited</v>
      </c>
      <c r="P48" t="str">
        <f ca="1">_xlfn.IFS(
EmpData[Tenure(Years)] &lt; 2,"New Staff",
EmpData[Tenure(Years)] &lt; 5,"Intermediate",
EmpData[Tenure(Years)] &lt; 10,"Experienced",
TRUE,"Veteran"
)</f>
        <v>New Staff</v>
      </c>
      <c r="Q48" t="str">
        <f>IF(EmpData[[#This Row],[Age]] &lt; 30, "Under 30",
    IF(EmpData[[#This Row],[Age]] &lt; 40, "30-39",
        IF(EmpData[[#This Row],[Age]] &lt; 50, "40-49",
            "50+"
        )
    )
)</f>
        <v>30-39</v>
      </c>
    </row>
    <row r="49" spans="1:17" x14ac:dyDescent="0.35">
      <c r="A49" s="4" t="s">
        <v>129</v>
      </c>
      <c r="B49" s="2" t="s">
        <v>71</v>
      </c>
      <c r="C49" s="2" t="s">
        <v>109</v>
      </c>
      <c r="D49" s="2" t="s">
        <v>16</v>
      </c>
      <c r="E49" s="6">
        <v>28</v>
      </c>
      <c r="F49" s="2" t="s">
        <v>37</v>
      </c>
      <c r="G49" s="2" t="s">
        <v>65</v>
      </c>
      <c r="H49" s="1">
        <v>45350</v>
      </c>
      <c r="J49" s="3">
        <v>171144</v>
      </c>
      <c r="K49" s="2" t="s">
        <v>43</v>
      </c>
      <c r="L49" s="2" t="s">
        <v>48</v>
      </c>
      <c r="M49" s="6">
        <v>4</v>
      </c>
      <c r="N49" s="15">
        <f ca="1">DATEDIF(EmpData[Hire_Date], IF(EmpData[Exit_Date]="", TODAY(), EmpData[Exit_Date]), "Y")</f>
        <v>1</v>
      </c>
      <c r="O49" t="str">
        <f>IF(EmpData[Exit_Date]="","Active","Exited")</f>
        <v>Active</v>
      </c>
      <c r="P49" t="str">
        <f ca="1">_xlfn.IFS(
EmpData[Tenure(Years)] &lt; 2,"New Staff",
EmpData[Tenure(Years)] &lt; 5,"Intermediate",
EmpData[Tenure(Years)] &lt; 10,"Experienced",
TRUE,"Veteran"
)</f>
        <v>New Staff</v>
      </c>
      <c r="Q49" t="str">
        <f>IF(EmpData[[#This Row],[Age]] &lt; 30, "Under 30",
    IF(EmpData[[#This Row],[Age]] &lt; 40, "30-39",
        IF(EmpData[[#This Row],[Age]] &lt; 50, "40-49",
            "50+"
        )
    )
)</f>
        <v>Under 30</v>
      </c>
    </row>
    <row r="50" spans="1:17" x14ac:dyDescent="0.35">
      <c r="A50" s="4" t="s">
        <v>130</v>
      </c>
      <c r="B50" s="2" t="s">
        <v>35</v>
      </c>
      <c r="C50" s="2" t="s">
        <v>57</v>
      </c>
      <c r="D50" s="2" t="s">
        <v>16</v>
      </c>
      <c r="E50" s="6">
        <v>31</v>
      </c>
      <c r="F50" s="2" t="s">
        <v>17</v>
      </c>
      <c r="G50" s="2" t="s">
        <v>131</v>
      </c>
      <c r="H50" s="1">
        <v>42026</v>
      </c>
      <c r="J50" s="3">
        <v>69761</v>
      </c>
      <c r="K50" s="2" t="s">
        <v>32</v>
      </c>
      <c r="L50" s="2" t="s">
        <v>20</v>
      </c>
      <c r="M50" s="6">
        <v>1</v>
      </c>
      <c r="N50" s="15">
        <f ca="1">DATEDIF(EmpData[Hire_Date], IF(EmpData[Exit_Date]="", TODAY(), EmpData[Exit_Date]), "Y")</f>
        <v>10</v>
      </c>
      <c r="O50" t="str">
        <f>IF(EmpData[Exit_Date]="","Active","Exited")</f>
        <v>Active</v>
      </c>
      <c r="P50" t="str">
        <f ca="1">_xlfn.IFS(
EmpData[Tenure(Years)] &lt; 2,"New Staff",
EmpData[Tenure(Years)] &lt; 5,"Intermediate",
EmpData[Tenure(Years)] &lt; 10,"Experienced",
TRUE,"Veteran"
)</f>
        <v>Veteran</v>
      </c>
      <c r="Q50" t="str">
        <f>IF(EmpData[[#This Row],[Age]] &lt; 30, "Under 30",
    IF(EmpData[[#This Row],[Age]] &lt; 40, "30-39",
        IF(EmpData[[#This Row],[Age]] &lt; 50, "40-49",
            "50+"
        )
    )
)</f>
        <v>30-39</v>
      </c>
    </row>
    <row r="51" spans="1:17" x14ac:dyDescent="0.35">
      <c r="A51" s="4" t="s">
        <v>132</v>
      </c>
      <c r="B51" s="2" t="s">
        <v>82</v>
      </c>
      <c r="C51" s="2" t="s">
        <v>28</v>
      </c>
      <c r="D51" s="2" t="s">
        <v>16</v>
      </c>
      <c r="E51" s="6">
        <v>46</v>
      </c>
      <c r="F51" s="2" t="s">
        <v>24</v>
      </c>
      <c r="G51" s="2" t="s">
        <v>25</v>
      </c>
      <c r="H51" s="1">
        <v>43721</v>
      </c>
      <c r="J51" s="3">
        <v>70727</v>
      </c>
      <c r="K51" s="2" t="s">
        <v>19</v>
      </c>
      <c r="L51" s="2" t="s">
        <v>33</v>
      </c>
      <c r="M51" s="6">
        <v>4</v>
      </c>
      <c r="N51" s="15">
        <f ca="1">DATEDIF(EmpData[Hire_Date], IF(EmpData[Exit_Date]="", TODAY(), EmpData[Exit_Date]), "Y")</f>
        <v>6</v>
      </c>
      <c r="O51" t="str">
        <f>IF(EmpData[Exit_Date]="","Active","Exited")</f>
        <v>Active</v>
      </c>
      <c r="P51" t="str">
        <f ca="1">_xlfn.IFS(
EmpData[Tenure(Years)] &lt; 2,"New Staff",
EmpData[Tenure(Years)] &lt; 5,"Intermediate",
EmpData[Tenure(Years)] &lt; 10,"Experienced",
TRUE,"Veteran"
)</f>
        <v>Experienced</v>
      </c>
      <c r="Q51" t="str">
        <f>IF(EmpData[[#This Row],[Age]] &lt; 30, "Under 30",
    IF(EmpData[[#This Row],[Age]] &lt; 40, "30-39",
        IF(EmpData[[#This Row],[Age]] &lt; 50, "40-49",
            "50+"
        )
    )
)</f>
        <v>40-49</v>
      </c>
    </row>
    <row r="52" spans="1:17" x14ac:dyDescent="0.35">
      <c r="A52" s="4" t="s">
        <v>133</v>
      </c>
      <c r="B52" s="2" t="s">
        <v>22</v>
      </c>
      <c r="C52" s="2" t="s">
        <v>45</v>
      </c>
      <c r="D52" s="2" t="s">
        <v>16</v>
      </c>
      <c r="E52" s="6">
        <v>40</v>
      </c>
      <c r="F52" s="2" t="s">
        <v>24</v>
      </c>
      <c r="G52" s="2" t="s">
        <v>74</v>
      </c>
      <c r="H52" s="1">
        <v>42043</v>
      </c>
      <c r="I52" s="1">
        <v>43495</v>
      </c>
      <c r="J52" s="3">
        <v>99161</v>
      </c>
      <c r="K52" s="2" t="s">
        <v>19</v>
      </c>
      <c r="L52" s="2" t="s">
        <v>20</v>
      </c>
      <c r="M52" s="6">
        <v>4</v>
      </c>
      <c r="N52" s="15">
        <f ca="1">DATEDIF(EmpData[Hire_Date], IF(EmpData[Exit_Date]="", TODAY(), EmpData[Exit_Date]), "Y")</f>
        <v>3</v>
      </c>
      <c r="O52" t="str">
        <f>IF(EmpData[Exit_Date]="","Active","Exited")</f>
        <v>Exited</v>
      </c>
      <c r="P52" t="str">
        <f ca="1">_xlfn.IFS(
EmpData[Tenure(Years)] &lt; 2,"New Staff",
EmpData[Tenure(Years)] &lt; 5,"Intermediate",
EmpData[Tenure(Years)] &lt; 10,"Experienced",
TRUE,"Veteran"
)</f>
        <v>Intermediate</v>
      </c>
      <c r="Q52" t="str">
        <f>IF(EmpData[[#This Row],[Age]] &lt; 30, "Under 30",
    IF(EmpData[[#This Row],[Age]] &lt; 40, "30-39",
        IF(EmpData[[#This Row],[Age]] &lt; 50, "40-49",
            "50+"
        )
    )
)</f>
        <v>40-49</v>
      </c>
    </row>
    <row r="53" spans="1:17" x14ac:dyDescent="0.35">
      <c r="A53" s="4" t="s">
        <v>134</v>
      </c>
      <c r="B53" s="2" t="s">
        <v>14</v>
      </c>
      <c r="C53" s="2" t="s">
        <v>115</v>
      </c>
      <c r="D53" s="2" t="s">
        <v>16</v>
      </c>
      <c r="E53" s="6">
        <v>22</v>
      </c>
      <c r="F53" s="2" t="s">
        <v>58</v>
      </c>
      <c r="G53" s="2" t="s">
        <v>72</v>
      </c>
      <c r="H53" s="1">
        <v>43461</v>
      </c>
      <c r="J53" s="3">
        <v>120579</v>
      </c>
      <c r="K53" s="2" t="s">
        <v>32</v>
      </c>
      <c r="L53" s="2" t="s">
        <v>48</v>
      </c>
      <c r="M53" s="6">
        <v>5</v>
      </c>
      <c r="N53" s="15">
        <f ca="1">DATEDIF(EmpData[Hire_Date], IF(EmpData[Exit_Date]="", TODAY(), EmpData[Exit_Date]), "Y")</f>
        <v>6</v>
      </c>
      <c r="O53" t="str">
        <f>IF(EmpData[Exit_Date]="","Active","Exited")</f>
        <v>Active</v>
      </c>
      <c r="P53" t="str">
        <f ca="1">_xlfn.IFS(
EmpData[Tenure(Years)] &lt; 2,"New Staff",
EmpData[Tenure(Years)] &lt; 5,"Intermediate",
EmpData[Tenure(Years)] &lt; 10,"Experienced",
TRUE,"Veteran"
)</f>
        <v>Experienced</v>
      </c>
      <c r="Q53" t="str">
        <f>IF(EmpData[[#This Row],[Age]] &lt; 30, "Under 30",
    IF(EmpData[[#This Row],[Age]] &lt; 40, "30-39",
        IF(EmpData[[#This Row],[Age]] &lt; 50, "40-49",
            "50+"
        )
    )
)</f>
        <v>Under 30</v>
      </c>
    </row>
    <row r="54" spans="1:17" x14ac:dyDescent="0.35">
      <c r="A54" s="4" t="s">
        <v>135</v>
      </c>
      <c r="B54" s="2" t="s">
        <v>96</v>
      </c>
      <c r="C54" s="2" t="s">
        <v>136</v>
      </c>
      <c r="D54" s="2" t="s">
        <v>29</v>
      </c>
      <c r="E54" s="6">
        <v>29</v>
      </c>
      <c r="F54" s="2" t="s">
        <v>17</v>
      </c>
      <c r="G54" s="2" t="s">
        <v>79</v>
      </c>
      <c r="H54" s="1">
        <v>44491</v>
      </c>
      <c r="J54" s="3">
        <v>146540</v>
      </c>
      <c r="K54" s="2" t="s">
        <v>32</v>
      </c>
      <c r="L54" s="2" t="s">
        <v>33</v>
      </c>
      <c r="M54" s="6">
        <v>4</v>
      </c>
      <c r="N54" s="15">
        <f ca="1">DATEDIF(EmpData[Hire_Date], IF(EmpData[Exit_Date]="", TODAY(), EmpData[Exit_Date]), "Y")</f>
        <v>4</v>
      </c>
      <c r="O54" t="str">
        <f>IF(EmpData[Exit_Date]="","Active","Exited")</f>
        <v>Active</v>
      </c>
      <c r="P54" t="str">
        <f ca="1">_xlfn.IFS(
EmpData[Tenure(Years)] &lt; 2,"New Staff",
EmpData[Tenure(Years)] &lt; 5,"Intermediate",
EmpData[Tenure(Years)] &lt; 10,"Experienced",
TRUE,"Veteran"
)</f>
        <v>Intermediate</v>
      </c>
      <c r="Q54" t="str">
        <f>IF(EmpData[[#This Row],[Age]] &lt; 30, "Under 30",
    IF(EmpData[[#This Row],[Age]] &lt; 40, "30-39",
        IF(EmpData[[#This Row],[Age]] &lt; 50, "40-49",
            "50+"
        )
    )
)</f>
        <v>Under 30</v>
      </c>
    </row>
    <row r="55" spans="1:17" x14ac:dyDescent="0.35">
      <c r="A55" s="4" t="s">
        <v>137</v>
      </c>
      <c r="B55" s="2" t="s">
        <v>84</v>
      </c>
      <c r="C55" s="2" t="s">
        <v>109</v>
      </c>
      <c r="D55" s="2" t="s">
        <v>16</v>
      </c>
      <c r="E55" s="6">
        <v>25</v>
      </c>
      <c r="F55" s="2" t="s">
        <v>17</v>
      </c>
      <c r="G55" s="2" t="s">
        <v>18</v>
      </c>
      <c r="H55" s="1">
        <v>43905</v>
      </c>
      <c r="J55" s="3">
        <v>108275</v>
      </c>
      <c r="K55" s="2" t="s">
        <v>43</v>
      </c>
      <c r="L55" s="2" t="s">
        <v>20</v>
      </c>
      <c r="M55" s="6">
        <v>3</v>
      </c>
      <c r="N55" s="15">
        <f ca="1">DATEDIF(EmpData[Hire_Date], IF(EmpData[Exit_Date]="", TODAY(), EmpData[Exit_Date]), "Y")</f>
        <v>5</v>
      </c>
      <c r="O55" t="str">
        <f>IF(EmpData[Exit_Date]="","Active","Exited")</f>
        <v>Active</v>
      </c>
      <c r="P55" t="str">
        <f ca="1">_xlfn.IFS(
EmpData[Tenure(Years)] &lt; 2,"New Staff",
EmpData[Tenure(Years)] &lt; 5,"Intermediate",
EmpData[Tenure(Years)] &lt; 10,"Experienced",
TRUE,"Veteran"
)</f>
        <v>Experienced</v>
      </c>
      <c r="Q55" t="str">
        <f>IF(EmpData[[#This Row],[Age]] &lt; 30, "Under 30",
    IF(EmpData[[#This Row],[Age]] &lt; 40, "30-39",
        IF(EmpData[[#This Row],[Age]] &lt; 50, "40-49",
            "50+"
        )
    )
)</f>
        <v>Under 30</v>
      </c>
    </row>
    <row r="56" spans="1:17" x14ac:dyDescent="0.35">
      <c r="A56" s="4" t="s">
        <v>138</v>
      </c>
      <c r="B56" s="2" t="s">
        <v>64</v>
      </c>
      <c r="C56" s="2" t="s">
        <v>42</v>
      </c>
      <c r="D56" s="2" t="s">
        <v>29</v>
      </c>
      <c r="E56" s="6">
        <v>27</v>
      </c>
      <c r="F56" s="2" t="s">
        <v>17</v>
      </c>
      <c r="G56" s="2" t="s">
        <v>18</v>
      </c>
      <c r="H56" s="1">
        <v>43628</v>
      </c>
      <c r="J56" s="3">
        <v>88504</v>
      </c>
      <c r="K56" s="2" t="s">
        <v>43</v>
      </c>
      <c r="L56" s="2" t="s">
        <v>48</v>
      </c>
      <c r="M56" s="6">
        <v>5</v>
      </c>
      <c r="N56" s="15">
        <f ca="1">DATEDIF(EmpData[Hire_Date], IF(EmpData[Exit_Date]="", TODAY(), EmpData[Exit_Date]), "Y")</f>
        <v>6</v>
      </c>
      <c r="O56" t="str">
        <f>IF(EmpData[Exit_Date]="","Active","Exited")</f>
        <v>Active</v>
      </c>
      <c r="P56" t="str">
        <f ca="1">_xlfn.IFS(
EmpData[Tenure(Years)] &lt; 2,"New Staff",
EmpData[Tenure(Years)] &lt; 5,"Intermediate",
EmpData[Tenure(Years)] &lt; 10,"Experienced",
TRUE,"Veteran"
)</f>
        <v>Experienced</v>
      </c>
      <c r="Q56" t="str">
        <f>IF(EmpData[[#This Row],[Age]] &lt; 30, "Under 30",
    IF(EmpData[[#This Row],[Age]] &lt; 40, "30-39",
        IF(EmpData[[#This Row],[Age]] &lt; 50, "40-49",
            "50+"
        )
    )
)</f>
        <v>Under 30</v>
      </c>
    </row>
    <row r="57" spans="1:17" x14ac:dyDescent="0.35">
      <c r="A57" s="4" t="s">
        <v>139</v>
      </c>
      <c r="B57" s="2" t="s">
        <v>123</v>
      </c>
      <c r="C57" s="2" t="s">
        <v>45</v>
      </c>
      <c r="D57" s="2" t="s">
        <v>29</v>
      </c>
      <c r="E57" s="6">
        <v>40</v>
      </c>
      <c r="F57" s="2" t="s">
        <v>46</v>
      </c>
      <c r="G57" s="2" t="s">
        <v>86</v>
      </c>
      <c r="H57" s="1">
        <v>44275</v>
      </c>
      <c r="J57" s="3">
        <v>132911</v>
      </c>
      <c r="K57" s="2" t="s">
        <v>39</v>
      </c>
      <c r="L57" s="2" t="s">
        <v>48</v>
      </c>
      <c r="M57" s="6">
        <v>3</v>
      </c>
      <c r="N57" s="15">
        <f ca="1">DATEDIF(EmpData[Hire_Date], IF(EmpData[Exit_Date]="", TODAY(), EmpData[Exit_Date]), "Y")</f>
        <v>4</v>
      </c>
      <c r="O57" t="str">
        <f>IF(EmpData[Exit_Date]="","Active","Exited")</f>
        <v>Active</v>
      </c>
      <c r="P57" t="str">
        <f ca="1">_xlfn.IFS(
EmpData[Tenure(Years)] &lt; 2,"New Staff",
EmpData[Tenure(Years)] &lt; 5,"Intermediate",
EmpData[Tenure(Years)] &lt; 10,"Experienced",
TRUE,"Veteran"
)</f>
        <v>Intermediate</v>
      </c>
      <c r="Q57" t="str">
        <f>IF(EmpData[[#This Row],[Age]] &lt; 30, "Under 30",
    IF(EmpData[[#This Row],[Age]] &lt; 40, "30-39",
        IF(EmpData[[#This Row],[Age]] &lt; 50, "40-49",
            "50+"
        )
    )
)</f>
        <v>40-49</v>
      </c>
    </row>
    <row r="58" spans="1:17" x14ac:dyDescent="0.35">
      <c r="A58" s="4" t="s">
        <v>140</v>
      </c>
      <c r="B58" s="2" t="s">
        <v>14</v>
      </c>
      <c r="C58" s="2" t="s">
        <v>121</v>
      </c>
      <c r="D58" s="2" t="s">
        <v>29</v>
      </c>
      <c r="E58" s="6">
        <v>49</v>
      </c>
      <c r="F58" s="2" t="s">
        <v>30</v>
      </c>
      <c r="G58" s="2" t="s">
        <v>104</v>
      </c>
      <c r="H58" s="1">
        <v>44999</v>
      </c>
      <c r="J58" s="3">
        <v>132305</v>
      </c>
      <c r="K58" s="2" t="s">
        <v>43</v>
      </c>
      <c r="L58" s="2" t="s">
        <v>33</v>
      </c>
      <c r="M58" s="6">
        <v>2</v>
      </c>
      <c r="N58" s="15">
        <f ca="1">DATEDIF(EmpData[Hire_Date], IF(EmpData[Exit_Date]="", TODAY(), EmpData[Exit_Date]), "Y")</f>
        <v>2</v>
      </c>
      <c r="O58" t="str">
        <f>IF(EmpData[Exit_Date]="","Active","Exited")</f>
        <v>Active</v>
      </c>
      <c r="P58" t="str">
        <f ca="1">_xlfn.IFS(
EmpData[Tenure(Years)] &lt; 2,"New Staff",
EmpData[Tenure(Years)] &lt; 5,"Intermediate",
EmpData[Tenure(Years)] &lt; 10,"Experienced",
TRUE,"Veteran"
)</f>
        <v>Intermediate</v>
      </c>
      <c r="Q58" t="str">
        <f>IF(EmpData[[#This Row],[Age]] &lt; 30, "Under 30",
    IF(EmpData[[#This Row],[Age]] &lt; 40, "30-39",
        IF(EmpData[[#This Row],[Age]] &lt; 50, "40-49",
            "50+"
        )
    )
)</f>
        <v>40-49</v>
      </c>
    </row>
    <row r="59" spans="1:17" x14ac:dyDescent="0.35">
      <c r="A59" s="4" t="s">
        <v>141</v>
      </c>
      <c r="B59" s="2" t="s">
        <v>78</v>
      </c>
      <c r="C59" s="2" t="s">
        <v>28</v>
      </c>
      <c r="D59" s="2" t="s">
        <v>29</v>
      </c>
      <c r="E59" s="6">
        <v>34</v>
      </c>
      <c r="F59" s="2" t="s">
        <v>46</v>
      </c>
      <c r="G59" s="2" t="s">
        <v>88</v>
      </c>
      <c r="H59" s="1">
        <v>45203</v>
      </c>
      <c r="J59" s="3">
        <v>46868</v>
      </c>
      <c r="K59" s="2" t="s">
        <v>39</v>
      </c>
      <c r="L59" s="2" t="s">
        <v>20</v>
      </c>
      <c r="M59" s="6">
        <v>1</v>
      </c>
      <c r="N59" s="15">
        <f ca="1">DATEDIF(EmpData[Hire_Date], IF(EmpData[Exit_Date]="", TODAY(), EmpData[Exit_Date]), "Y")</f>
        <v>2</v>
      </c>
      <c r="O59" t="str">
        <f>IF(EmpData[Exit_Date]="","Active","Exited")</f>
        <v>Active</v>
      </c>
      <c r="P59" t="str">
        <f ca="1">_xlfn.IFS(
EmpData[Tenure(Years)] &lt; 2,"New Staff",
EmpData[Tenure(Years)] &lt; 5,"Intermediate",
EmpData[Tenure(Years)] &lt; 10,"Experienced",
TRUE,"Veteran"
)</f>
        <v>Intermediate</v>
      </c>
      <c r="Q59" t="str">
        <f>IF(EmpData[[#This Row],[Age]] &lt; 30, "Under 30",
    IF(EmpData[[#This Row],[Age]] &lt; 40, "30-39",
        IF(EmpData[[#This Row],[Age]] &lt; 50, "40-49",
            "50+"
        )
    )
)</f>
        <v>30-39</v>
      </c>
    </row>
    <row r="60" spans="1:17" x14ac:dyDescent="0.35">
      <c r="A60" s="4" t="s">
        <v>142</v>
      </c>
      <c r="B60" s="2" t="s">
        <v>84</v>
      </c>
      <c r="C60" s="2" t="s">
        <v>57</v>
      </c>
      <c r="D60" s="2" t="s">
        <v>16</v>
      </c>
      <c r="E60" s="6">
        <v>35</v>
      </c>
      <c r="F60" s="2" t="s">
        <v>17</v>
      </c>
      <c r="G60" s="2" t="s">
        <v>18</v>
      </c>
      <c r="H60" s="1">
        <v>45043</v>
      </c>
      <c r="J60" s="3">
        <v>76491</v>
      </c>
      <c r="K60" s="2" t="s">
        <v>19</v>
      </c>
      <c r="L60" s="2" t="s">
        <v>48</v>
      </c>
      <c r="M60" s="6">
        <v>3</v>
      </c>
      <c r="N60" s="15">
        <f ca="1">DATEDIF(EmpData[Hire_Date], IF(EmpData[Exit_Date]="", TODAY(), EmpData[Exit_Date]), "Y")</f>
        <v>2</v>
      </c>
      <c r="O60" t="str">
        <f>IF(EmpData[Exit_Date]="","Active","Exited")</f>
        <v>Active</v>
      </c>
      <c r="P60" t="str">
        <f ca="1">_xlfn.IFS(
EmpData[Tenure(Years)] &lt; 2,"New Staff",
EmpData[Tenure(Years)] &lt; 5,"Intermediate",
EmpData[Tenure(Years)] &lt; 10,"Experienced",
TRUE,"Veteran"
)</f>
        <v>Intermediate</v>
      </c>
      <c r="Q60" t="str">
        <f>IF(EmpData[[#This Row],[Age]] &lt; 30, "Under 30",
    IF(EmpData[[#This Row],[Age]] &lt; 40, "30-39",
        IF(EmpData[[#This Row],[Age]] &lt; 50, "40-49",
            "50+"
        )
    )
)</f>
        <v>30-39</v>
      </c>
    </row>
    <row r="61" spans="1:17" x14ac:dyDescent="0.35">
      <c r="A61" s="4" t="s">
        <v>143</v>
      </c>
      <c r="B61" s="2" t="s">
        <v>119</v>
      </c>
      <c r="C61" s="2" t="s">
        <v>67</v>
      </c>
      <c r="D61" s="2" t="s">
        <v>16</v>
      </c>
      <c r="E61" s="6">
        <v>22</v>
      </c>
      <c r="F61" s="2" t="s">
        <v>17</v>
      </c>
      <c r="G61" s="2" t="s">
        <v>18</v>
      </c>
      <c r="H61" s="1">
        <v>45546</v>
      </c>
      <c r="I61" s="1">
        <v>45600</v>
      </c>
      <c r="J61" s="3">
        <v>187397</v>
      </c>
      <c r="K61" s="2" t="s">
        <v>19</v>
      </c>
      <c r="L61" s="2" t="s">
        <v>20</v>
      </c>
      <c r="M61" s="6">
        <v>1</v>
      </c>
      <c r="N61" s="15">
        <f ca="1">DATEDIF(EmpData[Hire_Date], IF(EmpData[Exit_Date]="", TODAY(), EmpData[Exit_Date]), "Y")</f>
        <v>0</v>
      </c>
      <c r="O61" t="str">
        <f>IF(EmpData[Exit_Date]="","Active","Exited")</f>
        <v>Exited</v>
      </c>
      <c r="P61" t="str">
        <f ca="1">_xlfn.IFS(
EmpData[Tenure(Years)] &lt; 2,"New Staff",
EmpData[Tenure(Years)] &lt; 5,"Intermediate",
EmpData[Tenure(Years)] &lt; 10,"Experienced",
TRUE,"Veteran"
)</f>
        <v>New Staff</v>
      </c>
      <c r="Q61" t="str">
        <f>IF(EmpData[[#This Row],[Age]] &lt; 30, "Under 30",
    IF(EmpData[[#This Row],[Age]] &lt; 40, "30-39",
        IF(EmpData[[#This Row],[Age]] &lt; 50, "40-49",
            "50+"
        )
    )
)</f>
        <v>Under 30</v>
      </c>
    </row>
    <row r="62" spans="1:17" x14ac:dyDescent="0.35">
      <c r="A62" s="4" t="s">
        <v>144</v>
      </c>
      <c r="B62" s="2" t="s">
        <v>56</v>
      </c>
      <c r="C62" s="2" t="s">
        <v>91</v>
      </c>
      <c r="D62" s="2" t="s">
        <v>29</v>
      </c>
      <c r="E62" s="6">
        <v>38</v>
      </c>
      <c r="F62" s="2" t="s">
        <v>30</v>
      </c>
      <c r="G62" s="2" t="s">
        <v>104</v>
      </c>
      <c r="H62" s="1">
        <v>42403</v>
      </c>
      <c r="J62" s="3">
        <v>57008</v>
      </c>
      <c r="K62" s="2" t="s">
        <v>43</v>
      </c>
      <c r="L62" s="2" t="s">
        <v>20</v>
      </c>
      <c r="M62" s="6">
        <v>4</v>
      </c>
      <c r="N62" s="15">
        <f ca="1">DATEDIF(EmpData[Hire_Date], IF(EmpData[Exit_Date]="", TODAY(), EmpData[Exit_Date]), "Y")</f>
        <v>9</v>
      </c>
      <c r="O62" t="str">
        <f>IF(EmpData[Exit_Date]="","Active","Exited")</f>
        <v>Active</v>
      </c>
      <c r="P62" t="str">
        <f ca="1">_xlfn.IFS(
EmpData[Tenure(Years)] &lt; 2,"New Staff",
EmpData[Tenure(Years)] &lt; 5,"Intermediate",
EmpData[Tenure(Years)] &lt; 10,"Experienced",
TRUE,"Veteran"
)</f>
        <v>Experienced</v>
      </c>
      <c r="Q62" t="str">
        <f>IF(EmpData[[#This Row],[Age]] &lt; 30, "Under 30",
    IF(EmpData[[#This Row],[Age]] &lt; 40, "30-39",
        IF(EmpData[[#This Row],[Age]] &lt; 50, "40-49",
            "50+"
        )
    )
)</f>
        <v>30-39</v>
      </c>
    </row>
    <row r="63" spans="1:17" x14ac:dyDescent="0.35">
      <c r="A63" s="4" t="s">
        <v>145</v>
      </c>
      <c r="B63" s="2" t="s">
        <v>64</v>
      </c>
      <c r="C63" s="2" t="s">
        <v>91</v>
      </c>
      <c r="D63" s="2" t="s">
        <v>29</v>
      </c>
      <c r="E63" s="6">
        <v>35</v>
      </c>
      <c r="F63" s="2" t="s">
        <v>37</v>
      </c>
      <c r="G63" s="2" t="s">
        <v>146</v>
      </c>
      <c r="H63" s="1">
        <v>43945</v>
      </c>
      <c r="I63" s="1">
        <v>45155</v>
      </c>
      <c r="J63" s="3">
        <v>157974</v>
      </c>
      <c r="K63" s="2" t="s">
        <v>32</v>
      </c>
      <c r="L63" s="2" t="s">
        <v>33</v>
      </c>
      <c r="M63" s="6">
        <v>1</v>
      </c>
      <c r="N63" s="15">
        <f ca="1">DATEDIF(EmpData[Hire_Date], IF(EmpData[Exit_Date]="", TODAY(), EmpData[Exit_Date]), "Y")</f>
        <v>3</v>
      </c>
      <c r="O63" t="str">
        <f>IF(EmpData[Exit_Date]="","Active","Exited")</f>
        <v>Exited</v>
      </c>
      <c r="P63" t="str">
        <f ca="1">_xlfn.IFS(
EmpData[Tenure(Years)] &lt; 2,"New Staff",
EmpData[Tenure(Years)] &lt; 5,"Intermediate",
EmpData[Tenure(Years)] &lt; 10,"Experienced",
TRUE,"Veteran"
)</f>
        <v>Intermediate</v>
      </c>
      <c r="Q63" t="str">
        <f>IF(EmpData[[#This Row],[Age]] &lt; 30, "Under 30",
    IF(EmpData[[#This Row],[Age]] &lt; 40, "30-39",
        IF(EmpData[[#This Row],[Age]] &lt; 50, "40-49",
            "50+"
        )
    )
)</f>
        <v>30-39</v>
      </c>
    </row>
    <row r="64" spans="1:17" x14ac:dyDescent="0.35">
      <c r="A64" s="4" t="s">
        <v>147</v>
      </c>
      <c r="B64" s="2" t="s">
        <v>114</v>
      </c>
      <c r="C64" s="2" t="s">
        <v>36</v>
      </c>
      <c r="D64" s="2" t="s">
        <v>29</v>
      </c>
      <c r="E64" s="6">
        <v>35</v>
      </c>
      <c r="F64" s="2" t="s">
        <v>24</v>
      </c>
      <c r="G64" s="2" t="s">
        <v>74</v>
      </c>
      <c r="H64" s="1">
        <v>42083</v>
      </c>
      <c r="I64" s="1">
        <v>42611</v>
      </c>
      <c r="J64" s="3">
        <v>129086</v>
      </c>
      <c r="K64" s="2" t="s">
        <v>39</v>
      </c>
      <c r="L64" s="2" t="s">
        <v>20</v>
      </c>
      <c r="M64" s="6">
        <v>1</v>
      </c>
      <c r="N64" s="15">
        <f ca="1">DATEDIF(EmpData[Hire_Date], IF(EmpData[Exit_Date]="", TODAY(), EmpData[Exit_Date]), "Y")</f>
        <v>1</v>
      </c>
      <c r="O64" t="str">
        <f>IF(EmpData[Exit_Date]="","Active","Exited")</f>
        <v>Exited</v>
      </c>
      <c r="P64" t="str">
        <f ca="1">_xlfn.IFS(
EmpData[Tenure(Years)] &lt; 2,"New Staff",
EmpData[Tenure(Years)] &lt; 5,"Intermediate",
EmpData[Tenure(Years)] &lt; 10,"Experienced",
TRUE,"Veteran"
)</f>
        <v>New Staff</v>
      </c>
      <c r="Q64" t="str">
        <f>IF(EmpData[[#This Row],[Age]] &lt; 30, "Under 30",
    IF(EmpData[[#This Row],[Age]] &lt; 40, "30-39",
        IF(EmpData[[#This Row],[Age]] &lt; 50, "40-49",
            "50+"
        )
    )
)</f>
        <v>30-39</v>
      </c>
    </row>
    <row r="65" spans="1:17" x14ac:dyDescent="0.35">
      <c r="A65" s="4" t="s">
        <v>148</v>
      </c>
      <c r="B65" s="2" t="s">
        <v>14</v>
      </c>
      <c r="C65" s="2" t="s">
        <v>53</v>
      </c>
      <c r="D65" s="2" t="s">
        <v>16</v>
      </c>
      <c r="E65" s="6">
        <v>26</v>
      </c>
      <c r="F65" s="2" t="s">
        <v>68</v>
      </c>
      <c r="G65" s="2" t="s">
        <v>124</v>
      </c>
      <c r="H65" s="1">
        <v>45646</v>
      </c>
      <c r="J65" s="3">
        <v>130758</v>
      </c>
      <c r="K65" s="2" t="s">
        <v>43</v>
      </c>
      <c r="L65" s="2" t="s">
        <v>20</v>
      </c>
      <c r="M65" s="6">
        <v>2</v>
      </c>
      <c r="N65" s="15">
        <f ca="1">DATEDIF(EmpData[Hire_Date], IF(EmpData[Exit_Date]="", TODAY(), EmpData[Exit_Date]), "Y")</f>
        <v>0</v>
      </c>
      <c r="O65" t="str">
        <f>IF(EmpData[Exit_Date]="","Active","Exited")</f>
        <v>Active</v>
      </c>
      <c r="P65" t="str">
        <f ca="1">_xlfn.IFS(
EmpData[Tenure(Years)] &lt; 2,"New Staff",
EmpData[Tenure(Years)] &lt; 5,"Intermediate",
EmpData[Tenure(Years)] &lt; 10,"Experienced",
TRUE,"Veteran"
)</f>
        <v>New Staff</v>
      </c>
      <c r="Q65" t="str">
        <f>IF(EmpData[[#This Row],[Age]] &lt; 30, "Under 30",
    IF(EmpData[[#This Row],[Age]] &lt; 40, "30-39",
        IF(EmpData[[#This Row],[Age]] &lt; 50, "40-49",
            "50+"
        )
    )
)</f>
        <v>Under 30</v>
      </c>
    </row>
    <row r="66" spans="1:17" x14ac:dyDescent="0.35">
      <c r="A66" s="4" t="s">
        <v>149</v>
      </c>
      <c r="B66" s="2" t="s">
        <v>41</v>
      </c>
      <c r="C66" s="2" t="s">
        <v>57</v>
      </c>
      <c r="D66" s="2" t="s">
        <v>29</v>
      </c>
      <c r="E66" s="6">
        <v>34</v>
      </c>
      <c r="F66" s="2" t="s">
        <v>24</v>
      </c>
      <c r="G66" s="2" t="s">
        <v>25</v>
      </c>
      <c r="H66" s="1">
        <v>44519</v>
      </c>
      <c r="I66" s="1">
        <v>45388</v>
      </c>
      <c r="J66" s="3">
        <v>138608</v>
      </c>
      <c r="K66" s="2" t="s">
        <v>39</v>
      </c>
      <c r="L66" s="2" t="s">
        <v>48</v>
      </c>
      <c r="M66" s="6">
        <v>4</v>
      </c>
      <c r="N66" s="15">
        <f ca="1">DATEDIF(EmpData[Hire_Date], IF(EmpData[Exit_Date]="", TODAY(), EmpData[Exit_Date]), "Y")</f>
        <v>2</v>
      </c>
      <c r="O66" t="str">
        <f>IF(EmpData[Exit_Date]="","Active","Exited")</f>
        <v>Exited</v>
      </c>
      <c r="P66" t="str">
        <f ca="1">_xlfn.IFS(
EmpData[Tenure(Years)] &lt; 2,"New Staff",
EmpData[Tenure(Years)] &lt; 5,"Intermediate",
EmpData[Tenure(Years)] &lt; 10,"Experienced",
TRUE,"Veteran"
)</f>
        <v>Intermediate</v>
      </c>
      <c r="Q66" t="str">
        <f>IF(EmpData[[#This Row],[Age]] &lt; 30, "Under 30",
    IF(EmpData[[#This Row],[Age]] &lt; 40, "30-39",
        IF(EmpData[[#This Row],[Age]] &lt; 50, "40-49",
            "50+"
        )
    )
)</f>
        <v>30-39</v>
      </c>
    </row>
    <row r="67" spans="1:17" x14ac:dyDescent="0.35">
      <c r="A67" s="4" t="s">
        <v>150</v>
      </c>
      <c r="B67" s="2" t="s">
        <v>71</v>
      </c>
      <c r="C67" s="2" t="s">
        <v>67</v>
      </c>
      <c r="D67" s="2" t="s">
        <v>16</v>
      </c>
      <c r="E67" s="6">
        <v>29</v>
      </c>
      <c r="F67" s="2" t="s">
        <v>24</v>
      </c>
      <c r="G67" s="2" t="s">
        <v>74</v>
      </c>
      <c r="H67" s="1">
        <v>45492</v>
      </c>
      <c r="J67" s="3">
        <v>197208</v>
      </c>
      <c r="K67" s="2" t="s">
        <v>32</v>
      </c>
      <c r="L67" s="2" t="s">
        <v>33</v>
      </c>
      <c r="M67" s="6">
        <v>1</v>
      </c>
      <c r="N67" s="15">
        <f ca="1">DATEDIF(EmpData[Hire_Date], IF(EmpData[Exit_Date]="", TODAY(), EmpData[Exit_Date]), "Y")</f>
        <v>1</v>
      </c>
      <c r="O67" t="str">
        <f>IF(EmpData[Exit_Date]="","Active","Exited")</f>
        <v>Active</v>
      </c>
      <c r="P67" t="str">
        <f ca="1">_xlfn.IFS(
EmpData[Tenure(Years)] &lt; 2,"New Staff",
EmpData[Tenure(Years)] &lt; 5,"Intermediate",
EmpData[Tenure(Years)] &lt; 10,"Experienced",
TRUE,"Veteran"
)</f>
        <v>New Staff</v>
      </c>
      <c r="Q67" t="str">
        <f>IF(EmpData[[#This Row],[Age]] &lt; 30, "Under 30",
    IF(EmpData[[#This Row],[Age]] &lt; 40, "30-39",
        IF(EmpData[[#This Row],[Age]] &lt; 50, "40-49",
            "50+"
        )
    )
)</f>
        <v>Under 30</v>
      </c>
    </row>
    <row r="68" spans="1:17" x14ac:dyDescent="0.35">
      <c r="A68" s="4" t="s">
        <v>151</v>
      </c>
      <c r="B68" s="2" t="s">
        <v>14</v>
      </c>
      <c r="C68" s="2" t="s">
        <v>100</v>
      </c>
      <c r="D68" s="2" t="s">
        <v>29</v>
      </c>
      <c r="E68" s="6">
        <v>37</v>
      </c>
      <c r="F68" s="2" t="s">
        <v>58</v>
      </c>
      <c r="G68" s="2" t="s">
        <v>59</v>
      </c>
      <c r="H68" s="1">
        <v>44814</v>
      </c>
      <c r="J68" s="3">
        <v>165443</v>
      </c>
      <c r="K68" s="2" t="s">
        <v>43</v>
      </c>
      <c r="L68" s="2" t="s">
        <v>48</v>
      </c>
      <c r="M68" s="6">
        <v>2</v>
      </c>
      <c r="N68" s="15">
        <f ca="1">DATEDIF(EmpData[Hire_Date], IF(EmpData[Exit_Date]="", TODAY(), EmpData[Exit_Date]), "Y")</f>
        <v>3</v>
      </c>
      <c r="O68" t="str">
        <f>IF(EmpData[Exit_Date]="","Active","Exited")</f>
        <v>Active</v>
      </c>
      <c r="P68" t="str">
        <f ca="1">_xlfn.IFS(
EmpData[Tenure(Years)] &lt; 2,"New Staff",
EmpData[Tenure(Years)] &lt; 5,"Intermediate",
EmpData[Tenure(Years)] &lt; 10,"Experienced",
TRUE,"Veteran"
)</f>
        <v>Intermediate</v>
      </c>
      <c r="Q68" t="str">
        <f>IF(EmpData[[#This Row],[Age]] &lt; 30, "Under 30",
    IF(EmpData[[#This Row],[Age]] &lt; 40, "30-39",
        IF(EmpData[[#This Row],[Age]] &lt; 50, "40-49",
            "50+"
        )
    )
)</f>
        <v>30-39</v>
      </c>
    </row>
    <row r="69" spans="1:17" x14ac:dyDescent="0.35">
      <c r="A69" s="4" t="s">
        <v>152</v>
      </c>
      <c r="B69" s="2" t="s">
        <v>56</v>
      </c>
      <c r="C69" s="2" t="s">
        <v>153</v>
      </c>
      <c r="D69" s="2" t="s">
        <v>29</v>
      </c>
      <c r="E69" s="6">
        <v>31</v>
      </c>
      <c r="F69" s="2" t="s">
        <v>30</v>
      </c>
      <c r="G69" s="2" t="s">
        <v>31</v>
      </c>
      <c r="H69" s="1">
        <v>44243</v>
      </c>
      <c r="J69" s="3">
        <v>48313</v>
      </c>
      <c r="K69" s="2" t="s">
        <v>43</v>
      </c>
      <c r="L69" s="2" t="s">
        <v>33</v>
      </c>
      <c r="M69" s="6">
        <v>1</v>
      </c>
      <c r="N69" s="15">
        <f ca="1">DATEDIF(EmpData[Hire_Date], IF(EmpData[Exit_Date]="", TODAY(), EmpData[Exit_Date]), "Y")</f>
        <v>4</v>
      </c>
      <c r="O69" t="str">
        <f>IF(EmpData[Exit_Date]="","Active","Exited")</f>
        <v>Active</v>
      </c>
      <c r="P69" t="str">
        <f ca="1">_xlfn.IFS(
EmpData[Tenure(Years)] &lt; 2,"New Staff",
EmpData[Tenure(Years)] &lt; 5,"Intermediate",
EmpData[Tenure(Years)] &lt; 10,"Experienced",
TRUE,"Veteran"
)</f>
        <v>Intermediate</v>
      </c>
      <c r="Q69" t="str">
        <f>IF(EmpData[[#This Row],[Age]] &lt; 30, "Under 30",
    IF(EmpData[[#This Row],[Age]] &lt; 40, "30-39",
        IF(EmpData[[#This Row],[Age]] &lt; 50, "40-49",
            "50+"
        )
    )
)</f>
        <v>30-39</v>
      </c>
    </row>
    <row r="70" spans="1:17" x14ac:dyDescent="0.35">
      <c r="A70" s="4" t="s">
        <v>154</v>
      </c>
      <c r="B70" s="2" t="s">
        <v>114</v>
      </c>
      <c r="C70" s="2" t="s">
        <v>28</v>
      </c>
      <c r="D70" s="2" t="s">
        <v>16</v>
      </c>
      <c r="E70" s="6">
        <v>41</v>
      </c>
      <c r="F70" s="2" t="s">
        <v>17</v>
      </c>
      <c r="G70" s="2" t="s">
        <v>18</v>
      </c>
      <c r="H70" s="1">
        <v>43688</v>
      </c>
      <c r="J70" s="3">
        <v>105911</v>
      </c>
      <c r="K70" s="2" t="s">
        <v>43</v>
      </c>
      <c r="L70" s="2" t="s">
        <v>48</v>
      </c>
      <c r="M70" s="6">
        <v>1</v>
      </c>
      <c r="N70" s="15">
        <f ca="1">DATEDIF(EmpData[Hire_Date], IF(EmpData[Exit_Date]="", TODAY(), EmpData[Exit_Date]), "Y")</f>
        <v>6</v>
      </c>
      <c r="O70" t="str">
        <f>IF(EmpData[Exit_Date]="","Active","Exited")</f>
        <v>Active</v>
      </c>
      <c r="P70" t="str">
        <f ca="1">_xlfn.IFS(
EmpData[Tenure(Years)] &lt; 2,"New Staff",
EmpData[Tenure(Years)] &lt; 5,"Intermediate",
EmpData[Tenure(Years)] &lt; 10,"Experienced",
TRUE,"Veteran"
)</f>
        <v>Experienced</v>
      </c>
      <c r="Q70" t="str">
        <f>IF(EmpData[[#This Row],[Age]] &lt; 30, "Under 30",
    IF(EmpData[[#This Row],[Age]] &lt; 40, "30-39",
        IF(EmpData[[#This Row],[Age]] &lt; 50, "40-49",
            "50+"
        )
    )
)</f>
        <v>40-49</v>
      </c>
    </row>
    <row r="71" spans="1:17" x14ac:dyDescent="0.35">
      <c r="A71" s="4" t="s">
        <v>155</v>
      </c>
      <c r="B71" s="2" t="s">
        <v>35</v>
      </c>
      <c r="C71" s="2" t="s">
        <v>67</v>
      </c>
      <c r="D71" s="2" t="s">
        <v>16</v>
      </c>
      <c r="E71" s="6">
        <v>24</v>
      </c>
      <c r="F71" s="2" t="s">
        <v>30</v>
      </c>
      <c r="G71" s="2" t="s">
        <v>31</v>
      </c>
      <c r="H71" s="1">
        <v>44975</v>
      </c>
      <c r="J71" s="3">
        <v>157856</v>
      </c>
      <c r="K71" s="2" t="s">
        <v>32</v>
      </c>
      <c r="L71" s="2" t="s">
        <v>48</v>
      </c>
      <c r="M71" s="6">
        <v>3</v>
      </c>
      <c r="N71" s="15">
        <f ca="1">DATEDIF(EmpData[Hire_Date], IF(EmpData[Exit_Date]="", TODAY(), EmpData[Exit_Date]), "Y")</f>
        <v>2</v>
      </c>
      <c r="O71" t="str">
        <f>IF(EmpData[Exit_Date]="","Active","Exited")</f>
        <v>Active</v>
      </c>
      <c r="P71" t="str">
        <f ca="1">_xlfn.IFS(
EmpData[Tenure(Years)] &lt; 2,"New Staff",
EmpData[Tenure(Years)] &lt; 5,"Intermediate",
EmpData[Tenure(Years)] &lt; 10,"Experienced",
TRUE,"Veteran"
)</f>
        <v>Intermediate</v>
      </c>
      <c r="Q71" t="str">
        <f>IF(EmpData[[#This Row],[Age]] &lt; 30, "Under 30",
    IF(EmpData[[#This Row],[Age]] &lt; 40, "30-39",
        IF(EmpData[[#This Row],[Age]] &lt; 50, "40-49",
            "50+"
        )
    )
)</f>
        <v>Under 30</v>
      </c>
    </row>
    <row r="72" spans="1:17" x14ac:dyDescent="0.35">
      <c r="A72" s="4" t="s">
        <v>156</v>
      </c>
      <c r="B72" s="2" t="s">
        <v>114</v>
      </c>
      <c r="C72" s="2" t="s">
        <v>91</v>
      </c>
      <c r="D72" s="2" t="s">
        <v>29</v>
      </c>
      <c r="E72" s="6">
        <v>48</v>
      </c>
      <c r="F72" s="2" t="s">
        <v>68</v>
      </c>
      <c r="G72" s="2" t="s">
        <v>124</v>
      </c>
      <c r="H72" s="1">
        <v>42527</v>
      </c>
      <c r="I72" s="1">
        <v>43457</v>
      </c>
      <c r="J72" s="3">
        <v>49915</v>
      </c>
      <c r="K72" s="2" t="s">
        <v>39</v>
      </c>
      <c r="L72" s="2" t="s">
        <v>33</v>
      </c>
      <c r="M72" s="6">
        <v>2</v>
      </c>
      <c r="N72" s="15">
        <f ca="1">DATEDIF(EmpData[Hire_Date], IF(EmpData[Exit_Date]="", TODAY(), EmpData[Exit_Date]), "Y")</f>
        <v>2</v>
      </c>
      <c r="O72" t="str">
        <f>IF(EmpData[Exit_Date]="","Active","Exited")</f>
        <v>Exited</v>
      </c>
      <c r="P72" t="str">
        <f ca="1">_xlfn.IFS(
EmpData[Tenure(Years)] &lt; 2,"New Staff",
EmpData[Tenure(Years)] &lt; 5,"Intermediate",
EmpData[Tenure(Years)] &lt; 10,"Experienced",
TRUE,"Veteran"
)</f>
        <v>Intermediate</v>
      </c>
      <c r="Q72" t="str">
        <f>IF(EmpData[[#This Row],[Age]] &lt; 30, "Under 30",
    IF(EmpData[[#This Row],[Age]] &lt; 40, "30-39",
        IF(EmpData[[#This Row],[Age]] &lt; 50, "40-49",
            "50+"
        )
    )
)</f>
        <v>40-49</v>
      </c>
    </row>
    <row r="73" spans="1:17" x14ac:dyDescent="0.35">
      <c r="A73" s="4" t="s">
        <v>157</v>
      </c>
      <c r="B73" s="2" t="s">
        <v>56</v>
      </c>
      <c r="C73" s="2" t="s">
        <v>153</v>
      </c>
      <c r="D73" s="2" t="s">
        <v>16</v>
      </c>
      <c r="E73" s="6">
        <v>42</v>
      </c>
      <c r="F73" s="2" t="s">
        <v>24</v>
      </c>
      <c r="G73" s="2" t="s">
        <v>74</v>
      </c>
      <c r="H73" s="1">
        <v>42007</v>
      </c>
      <c r="J73" s="3">
        <v>50763</v>
      </c>
      <c r="K73" s="2" t="s">
        <v>19</v>
      </c>
      <c r="L73" s="2" t="s">
        <v>48</v>
      </c>
      <c r="M73" s="6">
        <v>2</v>
      </c>
      <c r="N73" s="15">
        <f ca="1">DATEDIF(EmpData[Hire_Date], IF(EmpData[Exit_Date]="", TODAY(), EmpData[Exit_Date]), "Y")</f>
        <v>10</v>
      </c>
      <c r="O73" t="str">
        <f>IF(EmpData[Exit_Date]="","Active","Exited")</f>
        <v>Active</v>
      </c>
      <c r="P73" t="str">
        <f ca="1">_xlfn.IFS(
EmpData[Tenure(Years)] &lt; 2,"New Staff",
EmpData[Tenure(Years)] &lt; 5,"Intermediate",
EmpData[Tenure(Years)] &lt; 10,"Experienced",
TRUE,"Veteran"
)</f>
        <v>Veteran</v>
      </c>
      <c r="Q73" t="str">
        <f>IF(EmpData[[#This Row],[Age]] &lt; 30, "Under 30",
    IF(EmpData[[#This Row],[Age]] &lt; 40, "30-39",
        IF(EmpData[[#This Row],[Age]] &lt; 50, "40-49",
            "50+"
        )
    )
)</f>
        <v>40-49</v>
      </c>
    </row>
    <row r="74" spans="1:17" x14ac:dyDescent="0.35">
      <c r="A74" s="4" t="s">
        <v>158</v>
      </c>
      <c r="B74" s="2" t="s">
        <v>52</v>
      </c>
      <c r="C74" s="2" t="s">
        <v>45</v>
      </c>
      <c r="D74" s="2" t="s">
        <v>29</v>
      </c>
      <c r="E74" s="6">
        <v>46</v>
      </c>
      <c r="F74" s="2" t="s">
        <v>24</v>
      </c>
      <c r="G74" s="2" t="s">
        <v>92</v>
      </c>
      <c r="H74" s="1">
        <v>43045</v>
      </c>
      <c r="J74" s="3">
        <v>143411</v>
      </c>
      <c r="K74" s="2" t="s">
        <v>39</v>
      </c>
      <c r="L74" s="2" t="s">
        <v>20</v>
      </c>
      <c r="M74" s="6">
        <v>1</v>
      </c>
      <c r="N74" s="15">
        <f ca="1">DATEDIF(EmpData[Hire_Date], IF(EmpData[Exit_Date]="", TODAY(), EmpData[Exit_Date]), "Y")</f>
        <v>8</v>
      </c>
      <c r="O74" t="str">
        <f>IF(EmpData[Exit_Date]="","Active","Exited")</f>
        <v>Active</v>
      </c>
      <c r="P74" t="str">
        <f ca="1">_xlfn.IFS(
EmpData[Tenure(Years)] &lt; 2,"New Staff",
EmpData[Tenure(Years)] &lt; 5,"Intermediate",
EmpData[Tenure(Years)] &lt; 10,"Experienced",
TRUE,"Veteran"
)</f>
        <v>Experienced</v>
      </c>
      <c r="Q74" t="str">
        <f>IF(EmpData[[#This Row],[Age]] &lt; 30, "Under 30",
    IF(EmpData[[#This Row],[Age]] &lt; 40, "30-39",
        IF(EmpData[[#This Row],[Age]] &lt; 50, "40-49",
            "50+"
        )
    )
)</f>
        <v>40-49</v>
      </c>
    </row>
    <row r="75" spans="1:17" x14ac:dyDescent="0.35">
      <c r="A75" s="4" t="s">
        <v>159</v>
      </c>
      <c r="B75" s="2" t="s">
        <v>84</v>
      </c>
      <c r="C75" s="2" t="s">
        <v>109</v>
      </c>
      <c r="D75" s="2" t="s">
        <v>16</v>
      </c>
      <c r="E75" s="6">
        <v>47</v>
      </c>
      <c r="F75" s="2" t="s">
        <v>68</v>
      </c>
      <c r="G75" s="2" t="s">
        <v>69</v>
      </c>
      <c r="H75" s="1">
        <v>42394</v>
      </c>
      <c r="J75" s="3">
        <v>53066</v>
      </c>
      <c r="K75" s="2" t="s">
        <v>39</v>
      </c>
      <c r="L75" s="2" t="s">
        <v>48</v>
      </c>
      <c r="M75" s="6">
        <v>3</v>
      </c>
      <c r="N75" s="15">
        <f ca="1">DATEDIF(EmpData[Hire_Date], IF(EmpData[Exit_Date]="", TODAY(), EmpData[Exit_Date]), "Y")</f>
        <v>9</v>
      </c>
      <c r="O75" t="str">
        <f>IF(EmpData[Exit_Date]="","Active","Exited")</f>
        <v>Active</v>
      </c>
      <c r="P75" t="str">
        <f ca="1">_xlfn.IFS(
EmpData[Tenure(Years)] &lt; 2,"New Staff",
EmpData[Tenure(Years)] &lt; 5,"Intermediate",
EmpData[Tenure(Years)] &lt; 10,"Experienced",
TRUE,"Veteran"
)</f>
        <v>Experienced</v>
      </c>
      <c r="Q75" t="str">
        <f>IF(EmpData[[#This Row],[Age]] &lt; 30, "Under 30",
    IF(EmpData[[#This Row],[Age]] &lt; 40, "30-39",
        IF(EmpData[[#This Row],[Age]] &lt; 50, "40-49",
            "50+"
        )
    )
)</f>
        <v>40-49</v>
      </c>
    </row>
    <row r="76" spans="1:17" x14ac:dyDescent="0.35">
      <c r="A76" s="4" t="s">
        <v>160</v>
      </c>
      <c r="B76" s="2" t="s">
        <v>71</v>
      </c>
      <c r="C76" s="2" t="s">
        <v>153</v>
      </c>
      <c r="D76" s="2" t="s">
        <v>16</v>
      </c>
      <c r="E76" s="6">
        <v>54</v>
      </c>
      <c r="F76" s="2" t="s">
        <v>17</v>
      </c>
      <c r="G76" s="2" t="s">
        <v>18</v>
      </c>
      <c r="H76" s="1">
        <v>44762</v>
      </c>
      <c r="J76" s="3">
        <v>55895</v>
      </c>
      <c r="K76" s="2" t="s">
        <v>39</v>
      </c>
      <c r="L76" s="2" t="s">
        <v>48</v>
      </c>
      <c r="M76" s="6">
        <v>1</v>
      </c>
      <c r="N76" s="15">
        <f ca="1">DATEDIF(EmpData[Hire_Date], IF(EmpData[Exit_Date]="", TODAY(), EmpData[Exit_Date]), "Y")</f>
        <v>3</v>
      </c>
      <c r="O76" t="str">
        <f>IF(EmpData[Exit_Date]="","Active","Exited")</f>
        <v>Active</v>
      </c>
      <c r="P76" t="str">
        <f ca="1">_xlfn.IFS(
EmpData[Tenure(Years)] &lt; 2,"New Staff",
EmpData[Tenure(Years)] &lt; 5,"Intermediate",
EmpData[Tenure(Years)] &lt; 10,"Experienced",
TRUE,"Veteran"
)</f>
        <v>Intermediate</v>
      </c>
      <c r="Q76" t="str">
        <f>IF(EmpData[[#This Row],[Age]] &lt; 30, "Under 30",
    IF(EmpData[[#This Row],[Age]] &lt; 40, "30-39",
        IF(EmpData[[#This Row],[Age]] &lt; 50, "40-49",
            "50+"
        )
    )
)</f>
        <v>50+</v>
      </c>
    </row>
    <row r="77" spans="1:17" x14ac:dyDescent="0.35">
      <c r="A77" s="4" t="s">
        <v>161</v>
      </c>
      <c r="B77" s="2" t="s">
        <v>90</v>
      </c>
      <c r="C77" s="2" t="s">
        <v>121</v>
      </c>
      <c r="D77" s="2" t="s">
        <v>29</v>
      </c>
      <c r="E77" s="6">
        <v>28</v>
      </c>
      <c r="F77" s="2" t="s">
        <v>30</v>
      </c>
      <c r="G77" s="2" t="s">
        <v>31</v>
      </c>
      <c r="H77" s="1">
        <v>45011</v>
      </c>
      <c r="J77" s="3">
        <v>189119</v>
      </c>
      <c r="K77" s="2" t="s">
        <v>32</v>
      </c>
      <c r="L77" s="2" t="s">
        <v>33</v>
      </c>
      <c r="M77" s="6">
        <v>3</v>
      </c>
      <c r="N77" s="15">
        <f ca="1">DATEDIF(EmpData[Hire_Date], IF(EmpData[Exit_Date]="", TODAY(), EmpData[Exit_Date]), "Y")</f>
        <v>2</v>
      </c>
      <c r="O77" t="str">
        <f>IF(EmpData[Exit_Date]="","Active","Exited")</f>
        <v>Active</v>
      </c>
      <c r="P77" t="str">
        <f ca="1">_xlfn.IFS(
EmpData[Tenure(Years)] &lt; 2,"New Staff",
EmpData[Tenure(Years)] &lt; 5,"Intermediate",
EmpData[Tenure(Years)] &lt; 10,"Experienced",
TRUE,"Veteran"
)</f>
        <v>Intermediate</v>
      </c>
      <c r="Q77" t="str">
        <f>IF(EmpData[[#This Row],[Age]] &lt; 30, "Under 30",
    IF(EmpData[[#This Row],[Age]] &lt; 40, "30-39",
        IF(EmpData[[#This Row],[Age]] &lt; 50, "40-49",
            "50+"
        )
    )
)</f>
        <v>Under 30</v>
      </c>
    </row>
    <row r="78" spans="1:17" x14ac:dyDescent="0.35">
      <c r="A78" s="4" t="s">
        <v>162</v>
      </c>
      <c r="B78" s="2" t="s">
        <v>123</v>
      </c>
      <c r="C78" s="2" t="s">
        <v>57</v>
      </c>
      <c r="D78" s="2" t="s">
        <v>16</v>
      </c>
      <c r="E78" s="6">
        <v>42</v>
      </c>
      <c r="F78" s="2" t="s">
        <v>46</v>
      </c>
      <c r="G78" s="2" t="s">
        <v>86</v>
      </c>
      <c r="H78" s="1">
        <v>42218</v>
      </c>
      <c r="I78" s="1">
        <v>42365</v>
      </c>
      <c r="J78" s="3">
        <v>184499</v>
      </c>
      <c r="K78" s="2" t="s">
        <v>43</v>
      </c>
      <c r="L78" s="2" t="s">
        <v>33</v>
      </c>
      <c r="M78" s="6">
        <v>5</v>
      </c>
      <c r="N78" s="15">
        <f ca="1">DATEDIF(EmpData[Hire_Date], IF(EmpData[Exit_Date]="", TODAY(), EmpData[Exit_Date]), "Y")</f>
        <v>0</v>
      </c>
      <c r="O78" t="str">
        <f>IF(EmpData[Exit_Date]="","Active","Exited")</f>
        <v>Exited</v>
      </c>
      <c r="P78" t="str">
        <f ca="1">_xlfn.IFS(
EmpData[Tenure(Years)] &lt; 2,"New Staff",
EmpData[Tenure(Years)] &lt; 5,"Intermediate",
EmpData[Tenure(Years)] &lt; 10,"Experienced",
TRUE,"Veteran"
)</f>
        <v>New Staff</v>
      </c>
      <c r="Q78" t="str">
        <f>IF(EmpData[[#This Row],[Age]] &lt; 30, "Under 30",
    IF(EmpData[[#This Row],[Age]] &lt; 40, "30-39",
        IF(EmpData[[#This Row],[Age]] &lt; 50, "40-49",
            "50+"
        )
    )
)</f>
        <v>40-49</v>
      </c>
    </row>
    <row r="79" spans="1:17" x14ac:dyDescent="0.35">
      <c r="A79" s="4" t="s">
        <v>163</v>
      </c>
      <c r="B79" s="2" t="s">
        <v>84</v>
      </c>
      <c r="C79" s="2" t="s">
        <v>136</v>
      </c>
      <c r="D79" s="2" t="s">
        <v>29</v>
      </c>
      <c r="E79" s="6">
        <v>31</v>
      </c>
      <c r="F79" s="2" t="s">
        <v>46</v>
      </c>
      <c r="G79" s="2" t="s">
        <v>88</v>
      </c>
      <c r="H79" s="1">
        <v>42534</v>
      </c>
      <c r="J79" s="3">
        <v>191788</v>
      </c>
      <c r="K79" s="2" t="s">
        <v>19</v>
      </c>
      <c r="L79" s="2" t="s">
        <v>48</v>
      </c>
      <c r="M79" s="6">
        <v>1</v>
      </c>
      <c r="N79" s="15">
        <f ca="1">DATEDIF(EmpData[Hire_Date], IF(EmpData[Exit_Date]="", TODAY(), EmpData[Exit_Date]), "Y")</f>
        <v>9</v>
      </c>
      <c r="O79" t="str">
        <f>IF(EmpData[Exit_Date]="","Active","Exited")</f>
        <v>Active</v>
      </c>
      <c r="P79" t="str">
        <f ca="1">_xlfn.IFS(
EmpData[Tenure(Years)] &lt; 2,"New Staff",
EmpData[Tenure(Years)] &lt; 5,"Intermediate",
EmpData[Tenure(Years)] &lt; 10,"Experienced",
TRUE,"Veteran"
)</f>
        <v>Experienced</v>
      </c>
      <c r="Q79" t="str">
        <f>IF(EmpData[[#This Row],[Age]] &lt; 30, "Under 30",
    IF(EmpData[[#This Row],[Age]] &lt; 40, "30-39",
        IF(EmpData[[#This Row],[Age]] &lt; 50, "40-49",
            "50+"
        )
    )
)</f>
        <v>30-39</v>
      </c>
    </row>
    <row r="80" spans="1:17" x14ac:dyDescent="0.35">
      <c r="A80" s="4" t="s">
        <v>164</v>
      </c>
      <c r="B80" s="2" t="s">
        <v>96</v>
      </c>
      <c r="C80" s="2" t="s">
        <v>67</v>
      </c>
      <c r="D80" s="2" t="s">
        <v>16</v>
      </c>
      <c r="E80" s="6">
        <v>42</v>
      </c>
      <c r="F80" s="2" t="s">
        <v>37</v>
      </c>
      <c r="G80" s="2" t="s">
        <v>65</v>
      </c>
      <c r="H80" s="1">
        <v>43639</v>
      </c>
      <c r="J80" s="3">
        <v>148530</v>
      </c>
      <c r="K80" s="2" t="s">
        <v>19</v>
      </c>
      <c r="L80" s="2" t="s">
        <v>48</v>
      </c>
      <c r="M80" s="6">
        <v>5</v>
      </c>
      <c r="N80" s="15">
        <f ca="1">DATEDIF(EmpData[Hire_Date], IF(EmpData[Exit_Date]="", TODAY(), EmpData[Exit_Date]), "Y")</f>
        <v>6</v>
      </c>
      <c r="O80" t="str">
        <f>IF(EmpData[Exit_Date]="","Active","Exited")</f>
        <v>Active</v>
      </c>
      <c r="P80" t="str">
        <f ca="1">_xlfn.IFS(
EmpData[Tenure(Years)] &lt; 2,"New Staff",
EmpData[Tenure(Years)] &lt; 5,"Intermediate",
EmpData[Tenure(Years)] &lt; 10,"Experienced",
TRUE,"Veteran"
)</f>
        <v>Experienced</v>
      </c>
      <c r="Q80" t="str">
        <f>IF(EmpData[[#This Row],[Age]] &lt; 30, "Under 30",
    IF(EmpData[[#This Row],[Age]] &lt; 40, "30-39",
        IF(EmpData[[#This Row],[Age]] &lt; 50, "40-49",
            "50+"
        )
    )
)</f>
        <v>40-49</v>
      </c>
    </row>
    <row r="81" spans="1:17" x14ac:dyDescent="0.35">
      <c r="A81" s="4" t="s">
        <v>165</v>
      </c>
      <c r="B81" s="2" t="s">
        <v>90</v>
      </c>
      <c r="C81" s="2" t="s">
        <v>15</v>
      </c>
      <c r="D81" s="2" t="s">
        <v>29</v>
      </c>
      <c r="E81" s="6">
        <v>39</v>
      </c>
      <c r="F81" s="2" t="s">
        <v>58</v>
      </c>
      <c r="G81" s="2" t="s">
        <v>59</v>
      </c>
      <c r="H81" s="1">
        <v>44287</v>
      </c>
      <c r="I81" s="1">
        <v>44368</v>
      </c>
      <c r="J81" s="3">
        <v>153346</v>
      </c>
      <c r="K81" s="2" t="s">
        <v>43</v>
      </c>
      <c r="L81" s="2" t="s">
        <v>33</v>
      </c>
      <c r="M81" s="6">
        <v>2</v>
      </c>
      <c r="N81" s="15">
        <f ca="1">DATEDIF(EmpData[Hire_Date], IF(EmpData[Exit_Date]="", TODAY(), EmpData[Exit_Date]), "Y")</f>
        <v>0</v>
      </c>
      <c r="O81" t="str">
        <f>IF(EmpData[Exit_Date]="","Active","Exited")</f>
        <v>Exited</v>
      </c>
      <c r="P81" t="str">
        <f ca="1">_xlfn.IFS(
EmpData[Tenure(Years)] &lt; 2,"New Staff",
EmpData[Tenure(Years)] &lt; 5,"Intermediate",
EmpData[Tenure(Years)] &lt; 10,"Experienced",
TRUE,"Veteran"
)</f>
        <v>New Staff</v>
      </c>
      <c r="Q81" t="str">
        <f>IF(EmpData[[#This Row],[Age]] &lt; 30, "Under 30",
    IF(EmpData[[#This Row],[Age]] &lt; 40, "30-39",
        IF(EmpData[[#This Row],[Age]] &lt; 50, "40-49",
            "50+"
        )
    )
)</f>
        <v>30-39</v>
      </c>
    </row>
    <row r="82" spans="1:17" x14ac:dyDescent="0.35">
      <c r="A82" s="4" t="s">
        <v>166</v>
      </c>
      <c r="B82" s="2" t="s">
        <v>14</v>
      </c>
      <c r="C82" s="2" t="s">
        <v>15</v>
      </c>
      <c r="D82" s="2" t="s">
        <v>16</v>
      </c>
      <c r="E82" s="6">
        <v>31</v>
      </c>
      <c r="F82" s="2" t="s">
        <v>46</v>
      </c>
      <c r="G82" s="2" t="s">
        <v>47</v>
      </c>
      <c r="H82" s="1">
        <v>43137</v>
      </c>
      <c r="J82" s="3">
        <v>144953</v>
      </c>
      <c r="K82" s="2" t="s">
        <v>19</v>
      </c>
      <c r="L82" s="2" t="s">
        <v>20</v>
      </c>
      <c r="M82" s="6">
        <v>3</v>
      </c>
      <c r="N82" s="15">
        <f ca="1">DATEDIF(EmpData[Hire_Date], IF(EmpData[Exit_Date]="", TODAY(), EmpData[Exit_Date]), "Y")</f>
        <v>7</v>
      </c>
      <c r="O82" t="str">
        <f>IF(EmpData[Exit_Date]="","Active","Exited")</f>
        <v>Active</v>
      </c>
      <c r="P82" t="str">
        <f ca="1">_xlfn.IFS(
EmpData[Tenure(Years)] &lt; 2,"New Staff",
EmpData[Tenure(Years)] &lt; 5,"Intermediate",
EmpData[Tenure(Years)] &lt; 10,"Experienced",
TRUE,"Veteran"
)</f>
        <v>Experienced</v>
      </c>
      <c r="Q82" t="str">
        <f>IF(EmpData[[#This Row],[Age]] &lt; 30, "Under 30",
    IF(EmpData[[#This Row],[Age]] &lt; 40, "30-39",
        IF(EmpData[[#This Row],[Age]] &lt; 50, "40-49",
            "50+"
        )
    )
)</f>
        <v>30-39</v>
      </c>
    </row>
    <row r="83" spans="1:17" x14ac:dyDescent="0.35">
      <c r="A83" s="4" t="s">
        <v>167</v>
      </c>
      <c r="B83" s="2" t="s">
        <v>62</v>
      </c>
      <c r="C83" s="2" t="s">
        <v>53</v>
      </c>
      <c r="D83" s="2" t="s">
        <v>16</v>
      </c>
      <c r="E83" s="6">
        <v>42</v>
      </c>
      <c r="F83" s="2" t="s">
        <v>24</v>
      </c>
      <c r="G83" s="2" t="s">
        <v>74</v>
      </c>
      <c r="H83" s="1">
        <v>43230</v>
      </c>
      <c r="J83" s="3">
        <v>156620</v>
      </c>
      <c r="K83" s="2" t="s">
        <v>43</v>
      </c>
      <c r="L83" s="2" t="s">
        <v>48</v>
      </c>
      <c r="M83" s="6">
        <v>2</v>
      </c>
      <c r="N83" s="15">
        <f ca="1">DATEDIF(EmpData[Hire_Date], IF(EmpData[Exit_Date]="", TODAY(), EmpData[Exit_Date]), "Y")</f>
        <v>7</v>
      </c>
      <c r="O83" t="str">
        <f>IF(EmpData[Exit_Date]="","Active","Exited")</f>
        <v>Active</v>
      </c>
      <c r="P83" t="str">
        <f ca="1">_xlfn.IFS(
EmpData[Tenure(Years)] &lt; 2,"New Staff",
EmpData[Tenure(Years)] &lt; 5,"Intermediate",
EmpData[Tenure(Years)] &lt; 10,"Experienced",
TRUE,"Veteran"
)</f>
        <v>Experienced</v>
      </c>
      <c r="Q83" t="str">
        <f>IF(EmpData[[#This Row],[Age]] &lt; 30, "Under 30",
    IF(EmpData[[#This Row],[Age]] &lt; 40, "30-39",
        IF(EmpData[[#This Row],[Age]] &lt; 50, "40-49",
            "50+"
        )
    )
)</f>
        <v>40-49</v>
      </c>
    </row>
    <row r="84" spans="1:17" x14ac:dyDescent="0.35">
      <c r="A84" s="4" t="s">
        <v>168</v>
      </c>
      <c r="B84" s="2" t="s">
        <v>119</v>
      </c>
      <c r="C84" s="2" t="s">
        <v>42</v>
      </c>
      <c r="D84" s="2" t="s">
        <v>16</v>
      </c>
      <c r="E84" s="6">
        <v>41</v>
      </c>
      <c r="F84" s="2" t="s">
        <v>17</v>
      </c>
      <c r="G84" s="2" t="s">
        <v>79</v>
      </c>
      <c r="H84" s="1">
        <v>44637</v>
      </c>
      <c r="J84" s="3">
        <v>64762</v>
      </c>
      <c r="K84" s="2" t="s">
        <v>32</v>
      </c>
      <c r="L84" s="2" t="s">
        <v>33</v>
      </c>
      <c r="M84" s="6">
        <v>4</v>
      </c>
      <c r="N84" s="15">
        <f ca="1">DATEDIF(EmpData[Hire_Date], IF(EmpData[Exit_Date]="", TODAY(), EmpData[Exit_Date]), "Y")</f>
        <v>3</v>
      </c>
      <c r="O84" t="str">
        <f>IF(EmpData[Exit_Date]="","Active","Exited")</f>
        <v>Active</v>
      </c>
      <c r="P84" t="str">
        <f ca="1">_xlfn.IFS(
EmpData[Tenure(Years)] &lt; 2,"New Staff",
EmpData[Tenure(Years)] &lt; 5,"Intermediate",
EmpData[Tenure(Years)] &lt; 10,"Experienced",
TRUE,"Veteran"
)</f>
        <v>Intermediate</v>
      </c>
      <c r="Q84" t="str">
        <f>IF(EmpData[[#This Row],[Age]] &lt; 30, "Under 30",
    IF(EmpData[[#This Row],[Age]] &lt; 40, "30-39",
        IF(EmpData[[#This Row],[Age]] &lt; 50, "40-49",
            "50+"
        )
    )
)</f>
        <v>40-49</v>
      </c>
    </row>
    <row r="85" spans="1:17" x14ac:dyDescent="0.35">
      <c r="A85" s="4" t="s">
        <v>169</v>
      </c>
      <c r="B85" s="2" t="s">
        <v>82</v>
      </c>
      <c r="C85" s="2" t="s">
        <v>100</v>
      </c>
      <c r="D85" s="2" t="s">
        <v>29</v>
      </c>
      <c r="E85" s="6">
        <v>42</v>
      </c>
      <c r="F85" s="2" t="s">
        <v>24</v>
      </c>
      <c r="G85" s="2" t="s">
        <v>74</v>
      </c>
      <c r="H85" s="1">
        <v>43609</v>
      </c>
      <c r="I85" s="1">
        <v>43777</v>
      </c>
      <c r="J85" s="3">
        <v>121198</v>
      </c>
      <c r="K85" s="2" t="s">
        <v>19</v>
      </c>
      <c r="L85" s="2" t="s">
        <v>20</v>
      </c>
      <c r="M85" s="6">
        <v>2</v>
      </c>
      <c r="N85" s="15">
        <f ca="1">DATEDIF(EmpData[Hire_Date], IF(EmpData[Exit_Date]="", TODAY(), EmpData[Exit_Date]), "Y")</f>
        <v>0</v>
      </c>
      <c r="O85" t="str">
        <f>IF(EmpData[Exit_Date]="","Active","Exited")</f>
        <v>Exited</v>
      </c>
      <c r="P85" t="str">
        <f ca="1">_xlfn.IFS(
EmpData[Tenure(Years)] &lt; 2,"New Staff",
EmpData[Tenure(Years)] &lt; 5,"Intermediate",
EmpData[Tenure(Years)] &lt; 10,"Experienced",
TRUE,"Veteran"
)</f>
        <v>New Staff</v>
      </c>
      <c r="Q85" t="str">
        <f>IF(EmpData[[#This Row],[Age]] &lt; 30, "Under 30",
    IF(EmpData[[#This Row],[Age]] &lt; 40, "30-39",
        IF(EmpData[[#This Row],[Age]] &lt; 50, "40-49",
            "50+"
        )
    )
)</f>
        <v>40-49</v>
      </c>
    </row>
    <row r="86" spans="1:17" x14ac:dyDescent="0.35">
      <c r="A86" s="4" t="s">
        <v>170</v>
      </c>
      <c r="B86" s="2" t="s">
        <v>41</v>
      </c>
      <c r="C86" s="2" t="s">
        <v>100</v>
      </c>
      <c r="D86" s="2" t="s">
        <v>16</v>
      </c>
      <c r="E86" s="6">
        <v>43</v>
      </c>
      <c r="F86" s="2" t="s">
        <v>17</v>
      </c>
      <c r="G86" s="2" t="s">
        <v>131</v>
      </c>
      <c r="H86" s="1">
        <v>42109</v>
      </c>
      <c r="I86" s="1">
        <v>43076</v>
      </c>
      <c r="J86" s="3">
        <v>199043</v>
      </c>
      <c r="K86" s="2" t="s">
        <v>39</v>
      </c>
      <c r="L86" s="2" t="s">
        <v>33</v>
      </c>
      <c r="M86" s="6">
        <v>3</v>
      </c>
      <c r="N86" s="15">
        <f ca="1">DATEDIF(EmpData[Hire_Date], IF(EmpData[Exit_Date]="", TODAY(), EmpData[Exit_Date]), "Y")</f>
        <v>2</v>
      </c>
      <c r="O86" t="str">
        <f>IF(EmpData[Exit_Date]="","Active","Exited")</f>
        <v>Exited</v>
      </c>
      <c r="P86" t="str">
        <f ca="1">_xlfn.IFS(
EmpData[Tenure(Years)] &lt; 2,"New Staff",
EmpData[Tenure(Years)] &lt; 5,"Intermediate",
EmpData[Tenure(Years)] &lt; 10,"Experienced",
TRUE,"Veteran"
)</f>
        <v>Intermediate</v>
      </c>
      <c r="Q86" t="str">
        <f>IF(EmpData[[#This Row],[Age]] &lt; 30, "Under 30",
    IF(EmpData[[#This Row],[Age]] &lt; 40, "30-39",
        IF(EmpData[[#This Row],[Age]] &lt; 50, "40-49",
            "50+"
        )
    )
)</f>
        <v>40-49</v>
      </c>
    </row>
    <row r="87" spans="1:17" x14ac:dyDescent="0.35">
      <c r="A87" s="4" t="s">
        <v>171</v>
      </c>
      <c r="B87" s="2" t="s">
        <v>62</v>
      </c>
      <c r="C87" s="2" t="s">
        <v>15</v>
      </c>
      <c r="D87" s="2" t="s">
        <v>16</v>
      </c>
      <c r="E87" s="6">
        <v>43</v>
      </c>
      <c r="F87" s="2" t="s">
        <v>17</v>
      </c>
      <c r="G87" s="2" t="s">
        <v>131</v>
      </c>
      <c r="H87" s="1">
        <v>43341</v>
      </c>
      <c r="J87" s="3">
        <v>172896</v>
      </c>
      <c r="K87" s="2" t="s">
        <v>39</v>
      </c>
      <c r="L87" s="2" t="s">
        <v>20</v>
      </c>
      <c r="M87" s="6">
        <v>2</v>
      </c>
      <c r="N87" s="15">
        <f ca="1">DATEDIF(EmpData[Hire_Date], IF(EmpData[Exit_Date]="", TODAY(), EmpData[Exit_Date]), "Y")</f>
        <v>7</v>
      </c>
      <c r="O87" t="str">
        <f>IF(EmpData[Exit_Date]="","Active","Exited")</f>
        <v>Active</v>
      </c>
      <c r="P87" t="str">
        <f ca="1">_xlfn.IFS(
EmpData[Tenure(Years)] &lt; 2,"New Staff",
EmpData[Tenure(Years)] &lt; 5,"Intermediate",
EmpData[Tenure(Years)] &lt; 10,"Experienced",
TRUE,"Veteran"
)</f>
        <v>Experienced</v>
      </c>
      <c r="Q87" t="str">
        <f>IF(EmpData[[#This Row],[Age]] &lt; 30, "Under 30",
    IF(EmpData[[#This Row],[Age]] &lt; 40, "30-39",
        IF(EmpData[[#This Row],[Age]] &lt; 50, "40-49",
            "50+"
        )
    )
)</f>
        <v>40-49</v>
      </c>
    </row>
    <row r="88" spans="1:17" x14ac:dyDescent="0.35">
      <c r="A88" s="4" t="s">
        <v>172</v>
      </c>
      <c r="B88" s="2" t="s">
        <v>56</v>
      </c>
      <c r="C88" s="2" t="s">
        <v>136</v>
      </c>
      <c r="D88" s="2" t="s">
        <v>16</v>
      </c>
      <c r="E88" s="6">
        <v>47</v>
      </c>
      <c r="F88" s="2" t="s">
        <v>58</v>
      </c>
      <c r="G88" s="2" t="s">
        <v>98</v>
      </c>
      <c r="H88" s="1">
        <v>44710</v>
      </c>
      <c r="I88" s="1">
        <v>44941</v>
      </c>
      <c r="J88" s="3">
        <v>136318</v>
      </c>
      <c r="K88" s="2" t="s">
        <v>43</v>
      </c>
      <c r="L88" s="2" t="s">
        <v>48</v>
      </c>
      <c r="M88" s="6">
        <v>2</v>
      </c>
      <c r="N88" s="15">
        <f ca="1">DATEDIF(EmpData[Hire_Date], IF(EmpData[Exit_Date]="", TODAY(), EmpData[Exit_Date]), "Y")</f>
        <v>0</v>
      </c>
      <c r="O88" t="str">
        <f>IF(EmpData[Exit_Date]="","Active","Exited")</f>
        <v>Exited</v>
      </c>
      <c r="P88" t="str">
        <f ca="1">_xlfn.IFS(
EmpData[Tenure(Years)] &lt; 2,"New Staff",
EmpData[Tenure(Years)] &lt; 5,"Intermediate",
EmpData[Tenure(Years)] &lt; 10,"Experienced",
TRUE,"Veteran"
)</f>
        <v>New Staff</v>
      </c>
      <c r="Q88" t="str">
        <f>IF(EmpData[[#This Row],[Age]] &lt; 30, "Under 30",
    IF(EmpData[[#This Row],[Age]] &lt; 40, "30-39",
        IF(EmpData[[#This Row],[Age]] &lt; 50, "40-49",
            "50+"
        )
    )
)</f>
        <v>40-49</v>
      </c>
    </row>
    <row r="89" spans="1:17" x14ac:dyDescent="0.35">
      <c r="A89" s="4" t="s">
        <v>173</v>
      </c>
      <c r="B89" s="2" t="s">
        <v>76</v>
      </c>
      <c r="C89" s="2" t="s">
        <v>15</v>
      </c>
      <c r="D89" s="2" t="s">
        <v>16</v>
      </c>
      <c r="E89" s="6">
        <v>36</v>
      </c>
      <c r="F89" s="2" t="s">
        <v>37</v>
      </c>
      <c r="G89" s="2" t="s">
        <v>65</v>
      </c>
      <c r="H89" s="1">
        <v>43277</v>
      </c>
      <c r="I89" s="1">
        <v>43719</v>
      </c>
      <c r="J89" s="3">
        <v>127504</v>
      </c>
      <c r="K89" s="2" t="s">
        <v>19</v>
      </c>
      <c r="L89" s="2" t="s">
        <v>33</v>
      </c>
      <c r="M89" s="6">
        <v>2</v>
      </c>
      <c r="N89" s="15">
        <f ca="1">DATEDIF(EmpData[Hire_Date], IF(EmpData[Exit_Date]="", TODAY(), EmpData[Exit_Date]), "Y")</f>
        <v>1</v>
      </c>
      <c r="O89" t="str">
        <f>IF(EmpData[Exit_Date]="","Active","Exited")</f>
        <v>Exited</v>
      </c>
      <c r="P89" t="str">
        <f ca="1">_xlfn.IFS(
EmpData[Tenure(Years)] &lt; 2,"New Staff",
EmpData[Tenure(Years)] &lt; 5,"Intermediate",
EmpData[Tenure(Years)] &lt; 10,"Experienced",
TRUE,"Veteran"
)</f>
        <v>New Staff</v>
      </c>
      <c r="Q89" t="str">
        <f>IF(EmpData[[#This Row],[Age]] &lt; 30, "Under 30",
    IF(EmpData[[#This Row],[Age]] &lt; 40, "30-39",
        IF(EmpData[[#This Row],[Age]] &lt; 50, "40-49",
            "50+"
        )
    )
)</f>
        <v>30-39</v>
      </c>
    </row>
    <row r="90" spans="1:17" x14ac:dyDescent="0.35">
      <c r="A90" s="4" t="s">
        <v>174</v>
      </c>
      <c r="B90" s="2" t="s">
        <v>84</v>
      </c>
      <c r="C90" s="2" t="s">
        <v>121</v>
      </c>
      <c r="D90" s="2" t="s">
        <v>29</v>
      </c>
      <c r="E90" s="6">
        <v>27</v>
      </c>
      <c r="F90" s="2" t="s">
        <v>30</v>
      </c>
      <c r="G90" s="2" t="s">
        <v>104</v>
      </c>
      <c r="H90" s="1">
        <v>43156</v>
      </c>
      <c r="J90" s="3">
        <v>40972</v>
      </c>
      <c r="K90" s="2" t="s">
        <v>19</v>
      </c>
      <c r="L90" s="2" t="s">
        <v>48</v>
      </c>
      <c r="M90" s="6">
        <v>3</v>
      </c>
      <c r="N90" s="15">
        <f ca="1">DATEDIF(EmpData[Hire_Date], IF(EmpData[Exit_Date]="", TODAY(), EmpData[Exit_Date]), "Y")</f>
        <v>7</v>
      </c>
      <c r="O90" t="str">
        <f>IF(EmpData[Exit_Date]="","Active","Exited")</f>
        <v>Active</v>
      </c>
      <c r="P90" t="str">
        <f ca="1">_xlfn.IFS(
EmpData[Tenure(Years)] &lt; 2,"New Staff",
EmpData[Tenure(Years)] &lt; 5,"Intermediate",
EmpData[Tenure(Years)] &lt; 10,"Experienced",
TRUE,"Veteran"
)</f>
        <v>Experienced</v>
      </c>
      <c r="Q90" t="str">
        <f>IF(EmpData[[#This Row],[Age]] &lt; 30, "Under 30",
    IF(EmpData[[#This Row],[Age]] &lt; 40, "30-39",
        IF(EmpData[[#This Row],[Age]] &lt; 50, "40-49",
            "50+"
        )
    )
)</f>
        <v>Under 30</v>
      </c>
    </row>
    <row r="91" spans="1:17" x14ac:dyDescent="0.35">
      <c r="A91" s="4" t="s">
        <v>175</v>
      </c>
      <c r="B91" s="2" t="s">
        <v>114</v>
      </c>
      <c r="C91" s="2" t="s">
        <v>45</v>
      </c>
      <c r="D91" s="2" t="s">
        <v>16</v>
      </c>
      <c r="E91" s="6">
        <v>30</v>
      </c>
      <c r="F91" s="2" t="s">
        <v>46</v>
      </c>
      <c r="G91" s="2" t="s">
        <v>47</v>
      </c>
      <c r="H91" s="1">
        <v>42160</v>
      </c>
      <c r="I91" s="1">
        <v>43747</v>
      </c>
      <c r="J91" s="3">
        <v>114306</v>
      </c>
      <c r="K91" s="2" t="s">
        <v>43</v>
      </c>
      <c r="L91" s="2" t="s">
        <v>20</v>
      </c>
      <c r="M91" s="6">
        <v>5</v>
      </c>
      <c r="N91" s="15">
        <f ca="1">DATEDIF(EmpData[Hire_Date], IF(EmpData[Exit_Date]="", TODAY(), EmpData[Exit_Date]), "Y")</f>
        <v>4</v>
      </c>
      <c r="O91" t="str">
        <f>IF(EmpData[Exit_Date]="","Active","Exited")</f>
        <v>Exited</v>
      </c>
      <c r="P91" t="str">
        <f ca="1">_xlfn.IFS(
EmpData[Tenure(Years)] &lt; 2,"New Staff",
EmpData[Tenure(Years)] &lt; 5,"Intermediate",
EmpData[Tenure(Years)] &lt; 10,"Experienced",
TRUE,"Veteran"
)</f>
        <v>Intermediate</v>
      </c>
      <c r="Q91" t="str">
        <f>IF(EmpData[[#This Row],[Age]] &lt; 30, "Under 30",
    IF(EmpData[[#This Row],[Age]] &lt; 40, "30-39",
        IF(EmpData[[#This Row],[Age]] &lt; 50, "40-49",
            "50+"
        )
    )
)</f>
        <v>30-39</v>
      </c>
    </row>
    <row r="92" spans="1:17" x14ac:dyDescent="0.35">
      <c r="A92" s="4" t="s">
        <v>176</v>
      </c>
      <c r="B92" s="2" t="s">
        <v>82</v>
      </c>
      <c r="C92" s="2" t="s">
        <v>36</v>
      </c>
      <c r="D92" s="2" t="s">
        <v>16</v>
      </c>
      <c r="E92" s="6">
        <v>48</v>
      </c>
      <c r="F92" s="2" t="s">
        <v>46</v>
      </c>
      <c r="G92" s="2" t="s">
        <v>47</v>
      </c>
      <c r="H92" s="1">
        <v>43797</v>
      </c>
      <c r="J92" s="3">
        <v>167657</v>
      </c>
      <c r="K92" s="2" t="s">
        <v>19</v>
      </c>
      <c r="L92" s="2" t="s">
        <v>20</v>
      </c>
      <c r="M92" s="6">
        <v>5</v>
      </c>
      <c r="N92" s="15">
        <f ca="1">DATEDIF(EmpData[Hire_Date], IF(EmpData[Exit_Date]="", TODAY(), EmpData[Exit_Date]), "Y")</f>
        <v>6</v>
      </c>
      <c r="O92" t="str">
        <f>IF(EmpData[Exit_Date]="","Active","Exited")</f>
        <v>Active</v>
      </c>
      <c r="P92" t="str">
        <f ca="1">_xlfn.IFS(
EmpData[Tenure(Years)] &lt; 2,"New Staff",
EmpData[Tenure(Years)] &lt; 5,"Intermediate",
EmpData[Tenure(Years)] &lt; 10,"Experienced",
TRUE,"Veteran"
)</f>
        <v>Experienced</v>
      </c>
      <c r="Q92" t="str">
        <f>IF(EmpData[[#This Row],[Age]] &lt; 30, "Under 30",
    IF(EmpData[[#This Row],[Age]] &lt; 40, "30-39",
        IF(EmpData[[#This Row],[Age]] &lt; 50, "40-49",
            "50+"
        )
    )
)</f>
        <v>40-49</v>
      </c>
    </row>
    <row r="93" spans="1:17" x14ac:dyDescent="0.35">
      <c r="A93" s="4" t="s">
        <v>177</v>
      </c>
      <c r="B93" s="2" t="s">
        <v>56</v>
      </c>
      <c r="C93" s="2" t="s">
        <v>109</v>
      </c>
      <c r="D93" s="2" t="s">
        <v>16</v>
      </c>
      <c r="E93" s="6">
        <v>50</v>
      </c>
      <c r="F93" s="2" t="s">
        <v>24</v>
      </c>
      <c r="G93" s="2" t="s">
        <v>74</v>
      </c>
      <c r="H93" s="1">
        <v>43115</v>
      </c>
      <c r="J93" s="3">
        <v>93885</v>
      </c>
      <c r="K93" s="2" t="s">
        <v>39</v>
      </c>
      <c r="L93" s="2" t="s">
        <v>20</v>
      </c>
      <c r="M93" s="6">
        <v>1</v>
      </c>
      <c r="N93" s="15">
        <f ca="1">DATEDIF(EmpData[Hire_Date], IF(EmpData[Exit_Date]="", TODAY(), EmpData[Exit_Date]), "Y")</f>
        <v>7</v>
      </c>
      <c r="O93" t="str">
        <f>IF(EmpData[Exit_Date]="","Active","Exited")</f>
        <v>Active</v>
      </c>
      <c r="P93" t="str">
        <f ca="1">_xlfn.IFS(
EmpData[Tenure(Years)] &lt; 2,"New Staff",
EmpData[Tenure(Years)] &lt; 5,"Intermediate",
EmpData[Tenure(Years)] &lt; 10,"Experienced",
TRUE,"Veteran"
)</f>
        <v>Experienced</v>
      </c>
      <c r="Q93" t="str">
        <f>IF(EmpData[[#This Row],[Age]] &lt; 30, "Under 30",
    IF(EmpData[[#This Row],[Age]] &lt; 40, "30-39",
        IF(EmpData[[#This Row],[Age]] &lt; 50, "40-49",
            "50+"
        )
    )
)</f>
        <v>50+</v>
      </c>
    </row>
    <row r="94" spans="1:17" x14ac:dyDescent="0.35">
      <c r="A94" s="4" t="s">
        <v>178</v>
      </c>
      <c r="B94" s="2" t="s">
        <v>119</v>
      </c>
      <c r="C94" s="2" t="s">
        <v>45</v>
      </c>
      <c r="D94" s="2" t="s">
        <v>16</v>
      </c>
      <c r="E94" s="6">
        <v>53</v>
      </c>
      <c r="F94" s="2" t="s">
        <v>46</v>
      </c>
      <c r="G94" s="2" t="s">
        <v>88</v>
      </c>
      <c r="H94" s="1">
        <v>44445</v>
      </c>
      <c r="J94" s="3">
        <v>50380</v>
      </c>
      <c r="K94" s="2" t="s">
        <v>39</v>
      </c>
      <c r="L94" s="2" t="s">
        <v>48</v>
      </c>
      <c r="M94" s="6">
        <v>3</v>
      </c>
      <c r="N94" s="15">
        <f ca="1">DATEDIF(EmpData[Hire_Date], IF(EmpData[Exit_Date]="", TODAY(), EmpData[Exit_Date]), "Y")</f>
        <v>4</v>
      </c>
      <c r="O94" t="str">
        <f>IF(EmpData[Exit_Date]="","Active","Exited")</f>
        <v>Active</v>
      </c>
      <c r="P94" t="str">
        <f ca="1">_xlfn.IFS(
EmpData[Tenure(Years)] &lt; 2,"New Staff",
EmpData[Tenure(Years)] &lt; 5,"Intermediate",
EmpData[Tenure(Years)] &lt; 10,"Experienced",
TRUE,"Veteran"
)</f>
        <v>Intermediate</v>
      </c>
      <c r="Q94" t="str">
        <f>IF(EmpData[[#This Row],[Age]] &lt; 30, "Under 30",
    IF(EmpData[[#This Row],[Age]] &lt; 40, "30-39",
        IF(EmpData[[#This Row],[Age]] &lt; 50, "40-49",
            "50+"
        )
    )
)</f>
        <v>50+</v>
      </c>
    </row>
    <row r="95" spans="1:17" x14ac:dyDescent="0.35">
      <c r="A95" s="4" t="s">
        <v>179</v>
      </c>
      <c r="B95" s="2" t="s">
        <v>119</v>
      </c>
      <c r="C95" s="2" t="s">
        <v>57</v>
      </c>
      <c r="D95" s="2" t="s">
        <v>16</v>
      </c>
      <c r="E95" s="6">
        <v>43</v>
      </c>
      <c r="F95" s="2" t="s">
        <v>46</v>
      </c>
      <c r="G95" s="2" t="s">
        <v>86</v>
      </c>
      <c r="H95" s="1">
        <v>45410</v>
      </c>
      <c r="J95" s="3">
        <v>44617</v>
      </c>
      <c r="K95" s="2" t="s">
        <v>43</v>
      </c>
      <c r="L95" s="2" t="s">
        <v>33</v>
      </c>
      <c r="M95" s="6">
        <v>1</v>
      </c>
      <c r="N95" s="15">
        <f ca="1">DATEDIF(EmpData[Hire_Date], IF(EmpData[Exit_Date]="", TODAY(), EmpData[Exit_Date]), "Y")</f>
        <v>1</v>
      </c>
      <c r="O95" t="str">
        <f>IF(EmpData[Exit_Date]="","Active","Exited")</f>
        <v>Active</v>
      </c>
      <c r="P95" t="str">
        <f ca="1">_xlfn.IFS(
EmpData[Tenure(Years)] &lt; 2,"New Staff",
EmpData[Tenure(Years)] &lt; 5,"Intermediate",
EmpData[Tenure(Years)] &lt; 10,"Experienced",
TRUE,"Veteran"
)</f>
        <v>New Staff</v>
      </c>
      <c r="Q95" t="str">
        <f>IF(EmpData[[#This Row],[Age]] &lt; 30, "Under 30",
    IF(EmpData[[#This Row],[Age]] &lt; 40, "30-39",
        IF(EmpData[[#This Row],[Age]] &lt; 50, "40-49",
            "50+"
        )
    )
)</f>
        <v>40-49</v>
      </c>
    </row>
    <row r="96" spans="1:17" x14ac:dyDescent="0.35">
      <c r="A96" s="4" t="s">
        <v>180</v>
      </c>
      <c r="B96" s="2" t="s">
        <v>62</v>
      </c>
      <c r="C96" s="2" t="s">
        <v>115</v>
      </c>
      <c r="D96" s="2" t="s">
        <v>29</v>
      </c>
      <c r="E96" s="6">
        <v>45</v>
      </c>
      <c r="F96" s="2" t="s">
        <v>58</v>
      </c>
      <c r="G96" s="2" t="s">
        <v>98</v>
      </c>
      <c r="H96" s="1">
        <v>45276</v>
      </c>
      <c r="I96" s="1">
        <v>45476</v>
      </c>
      <c r="J96" s="3">
        <v>43233</v>
      </c>
      <c r="K96" s="2" t="s">
        <v>32</v>
      </c>
      <c r="L96" s="2" t="s">
        <v>33</v>
      </c>
      <c r="M96" s="6">
        <v>4</v>
      </c>
      <c r="N96" s="15">
        <f ca="1">DATEDIF(EmpData[Hire_Date], IF(EmpData[Exit_Date]="", TODAY(), EmpData[Exit_Date]), "Y")</f>
        <v>0</v>
      </c>
      <c r="O96" t="str">
        <f>IF(EmpData[Exit_Date]="","Active","Exited")</f>
        <v>Exited</v>
      </c>
      <c r="P96" t="str">
        <f ca="1">_xlfn.IFS(
EmpData[Tenure(Years)] &lt; 2,"New Staff",
EmpData[Tenure(Years)] &lt; 5,"Intermediate",
EmpData[Tenure(Years)] &lt; 10,"Experienced",
TRUE,"Veteran"
)</f>
        <v>New Staff</v>
      </c>
      <c r="Q96" t="str">
        <f>IF(EmpData[[#This Row],[Age]] &lt; 30, "Under 30",
    IF(EmpData[[#This Row],[Age]] &lt; 40, "30-39",
        IF(EmpData[[#This Row],[Age]] &lt; 50, "40-49",
            "50+"
        )
    )
)</f>
        <v>40-49</v>
      </c>
    </row>
    <row r="97" spans="1:17" x14ac:dyDescent="0.35">
      <c r="A97" s="4" t="s">
        <v>181</v>
      </c>
      <c r="B97" s="2" t="s">
        <v>52</v>
      </c>
      <c r="C97" s="2" t="s">
        <v>57</v>
      </c>
      <c r="D97" s="2" t="s">
        <v>29</v>
      </c>
      <c r="E97" s="6">
        <v>40</v>
      </c>
      <c r="F97" s="2" t="s">
        <v>37</v>
      </c>
      <c r="G97" s="2" t="s">
        <v>146</v>
      </c>
      <c r="H97" s="1">
        <v>43777</v>
      </c>
      <c r="J97" s="3">
        <v>146625</v>
      </c>
      <c r="K97" s="2" t="s">
        <v>39</v>
      </c>
      <c r="L97" s="2" t="s">
        <v>20</v>
      </c>
      <c r="M97" s="6">
        <v>5</v>
      </c>
      <c r="N97" s="15">
        <f ca="1">DATEDIF(EmpData[Hire_Date], IF(EmpData[Exit_Date]="", TODAY(), EmpData[Exit_Date]), "Y")</f>
        <v>6</v>
      </c>
      <c r="O97" t="str">
        <f>IF(EmpData[Exit_Date]="","Active","Exited")</f>
        <v>Active</v>
      </c>
      <c r="P97" t="str">
        <f ca="1">_xlfn.IFS(
EmpData[Tenure(Years)] &lt; 2,"New Staff",
EmpData[Tenure(Years)] &lt; 5,"Intermediate",
EmpData[Tenure(Years)] &lt; 10,"Experienced",
TRUE,"Veteran"
)</f>
        <v>Experienced</v>
      </c>
      <c r="Q97" t="str">
        <f>IF(EmpData[[#This Row],[Age]] &lt; 30, "Under 30",
    IF(EmpData[[#This Row],[Age]] &lt; 40, "30-39",
        IF(EmpData[[#This Row],[Age]] &lt; 50, "40-49",
            "50+"
        )
    )
)</f>
        <v>40-49</v>
      </c>
    </row>
    <row r="98" spans="1:17" x14ac:dyDescent="0.35">
      <c r="A98" s="4" t="s">
        <v>182</v>
      </c>
      <c r="B98" s="2" t="s">
        <v>78</v>
      </c>
      <c r="C98" s="2" t="s">
        <v>45</v>
      </c>
      <c r="D98" s="2" t="s">
        <v>29</v>
      </c>
      <c r="E98" s="6">
        <v>46</v>
      </c>
      <c r="F98" s="2" t="s">
        <v>37</v>
      </c>
      <c r="G98" s="2" t="s">
        <v>146</v>
      </c>
      <c r="H98" s="1">
        <v>44977</v>
      </c>
      <c r="J98" s="3">
        <v>45897</v>
      </c>
      <c r="K98" s="2" t="s">
        <v>32</v>
      </c>
      <c r="L98" s="2" t="s">
        <v>33</v>
      </c>
      <c r="M98" s="6">
        <v>3</v>
      </c>
      <c r="N98" s="15">
        <f ca="1">DATEDIF(EmpData[Hire_Date], IF(EmpData[Exit_Date]="", TODAY(), EmpData[Exit_Date]), "Y")</f>
        <v>2</v>
      </c>
      <c r="O98" t="str">
        <f>IF(EmpData[Exit_Date]="","Active","Exited")</f>
        <v>Active</v>
      </c>
      <c r="P98" t="str">
        <f ca="1">_xlfn.IFS(
EmpData[Tenure(Years)] &lt; 2,"New Staff",
EmpData[Tenure(Years)] &lt; 5,"Intermediate",
EmpData[Tenure(Years)] &lt; 10,"Experienced",
TRUE,"Veteran"
)</f>
        <v>Intermediate</v>
      </c>
      <c r="Q98" t="str">
        <f>IF(EmpData[[#This Row],[Age]] &lt; 30, "Under 30",
    IF(EmpData[[#This Row],[Age]] &lt; 40, "30-39",
        IF(EmpData[[#This Row],[Age]] &lt; 50, "40-49",
            "50+"
        )
    )
)</f>
        <v>40-49</v>
      </c>
    </row>
    <row r="99" spans="1:17" x14ac:dyDescent="0.35">
      <c r="A99" s="4" t="s">
        <v>183</v>
      </c>
      <c r="B99" s="2" t="s">
        <v>14</v>
      </c>
      <c r="C99" s="2" t="s">
        <v>153</v>
      </c>
      <c r="D99" s="2" t="s">
        <v>29</v>
      </c>
      <c r="E99" s="6">
        <v>22</v>
      </c>
      <c r="F99" s="2" t="s">
        <v>58</v>
      </c>
      <c r="G99" s="2" t="s">
        <v>98</v>
      </c>
      <c r="H99" s="1">
        <v>43865</v>
      </c>
      <c r="J99" s="3">
        <v>78791</v>
      </c>
      <c r="K99" s="2" t="s">
        <v>43</v>
      </c>
      <c r="L99" s="2" t="s">
        <v>20</v>
      </c>
      <c r="M99" s="6">
        <v>4</v>
      </c>
      <c r="N99" s="15">
        <f ca="1">DATEDIF(EmpData[Hire_Date], IF(EmpData[Exit_Date]="", TODAY(), EmpData[Exit_Date]), "Y")</f>
        <v>5</v>
      </c>
      <c r="O99" t="str">
        <f>IF(EmpData[Exit_Date]="","Active","Exited")</f>
        <v>Active</v>
      </c>
      <c r="P99" t="str">
        <f ca="1">_xlfn.IFS(
EmpData[Tenure(Years)] &lt; 2,"New Staff",
EmpData[Tenure(Years)] &lt; 5,"Intermediate",
EmpData[Tenure(Years)] &lt; 10,"Experienced",
TRUE,"Veteran"
)</f>
        <v>Experienced</v>
      </c>
      <c r="Q99" t="str">
        <f>IF(EmpData[[#This Row],[Age]] &lt; 30, "Under 30",
    IF(EmpData[[#This Row],[Age]] &lt; 40, "30-39",
        IF(EmpData[[#This Row],[Age]] &lt; 50, "40-49",
            "50+"
        )
    )
)</f>
        <v>Under 30</v>
      </c>
    </row>
    <row r="100" spans="1:17" x14ac:dyDescent="0.35">
      <c r="A100" s="4" t="s">
        <v>184</v>
      </c>
      <c r="B100" s="2" t="s">
        <v>27</v>
      </c>
      <c r="C100" s="2" t="s">
        <v>53</v>
      </c>
      <c r="D100" s="2" t="s">
        <v>16</v>
      </c>
      <c r="E100" s="6">
        <v>50</v>
      </c>
      <c r="F100" s="2" t="s">
        <v>58</v>
      </c>
      <c r="G100" s="2" t="s">
        <v>98</v>
      </c>
      <c r="H100" s="1">
        <v>42807</v>
      </c>
      <c r="J100" s="3">
        <v>102892</v>
      </c>
      <c r="K100" s="2" t="s">
        <v>32</v>
      </c>
      <c r="L100" s="2" t="s">
        <v>20</v>
      </c>
      <c r="M100" s="6">
        <v>4</v>
      </c>
      <c r="N100" s="15">
        <f ca="1">DATEDIF(EmpData[Hire_Date], IF(EmpData[Exit_Date]="", TODAY(), EmpData[Exit_Date]), "Y")</f>
        <v>8</v>
      </c>
      <c r="O100" t="str">
        <f>IF(EmpData[Exit_Date]="","Active","Exited")</f>
        <v>Active</v>
      </c>
      <c r="P100" t="str">
        <f ca="1">_xlfn.IFS(
EmpData[Tenure(Years)] &lt; 2,"New Staff",
EmpData[Tenure(Years)] &lt; 5,"Intermediate",
EmpData[Tenure(Years)] &lt; 10,"Experienced",
TRUE,"Veteran"
)</f>
        <v>Experienced</v>
      </c>
      <c r="Q100" t="str">
        <f>IF(EmpData[[#This Row],[Age]] &lt; 30, "Under 30",
    IF(EmpData[[#This Row],[Age]] &lt; 40, "30-39",
        IF(EmpData[[#This Row],[Age]] &lt; 50, "40-49",
            "50+"
        )
    )
)</f>
        <v>50+</v>
      </c>
    </row>
    <row r="101" spans="1:17" x14ac:dyDescent="0.35">
      <c r="A101" s="4" t="s">
        <v>185</v>
      </c>
      <c r="B101" s="2" t="s">
        <v>64</v>
      </c>
      <c r="C101" s="2" t="s">
        <v>121</v>
      </c>
      <c r="D101" s="2" t="s">
        <v>29</v>
      </c>
      <c r="E101" s="6">
        <v>49</v>
      </c>
      <c r="F101" s="2" t="s">
        <v>17</v>
      </c>
      <c r="G101" s="2" t="s">
        <v>79</v>
      </c>
      <c r="H101" s="1">
        <v>42791</v>
      </c>
      <c r="J101" s="3">
        <v>50238</v>
      </c>
      <c r="K101" s="2" t="s">
        <v>39</v>
      </c>
      <c r="L101" s="2" t="s">
        <v>20</v>
      </c>
      <c r="M101" s="6">
        <v>2</v>
      </c>
      <c r="N101" s="15">
        <f ca="1">DATEDIF(EmpData[Hire_Date], IF(EmpData[Exit_Date]="", TODAY(), EmpData[Exit_Date]), "Y")</f>
        <v>8</v>
      </c>
      <c r="O101" t="str">
        <f>IF(EmpData[Exit_Date]="","Active","Exited")</f>
        <v>Active</v>
      </c>
      <c r="P101" t="str">
        <f ca="1">_xlfn.IFS(
EmpData[Tenure(Years)] &lt; 2,"New Staff",
EmpData[Tenure(Years)] &lt; 5,"Intermediate",
EmpData[Tenure(Years)] &lt; 10,"Experienced",
TRUE,"Veteran"
)</f>
        <v>Experienced</v>
      </c>
      <c r="Q101" t="str">
        <f>IF(EmpData[[#This Row],[Age]] &lt; 30, "Under 30",
    IF(EmpData[[#This Row],[Age]] &lt; 40, "30-39",
        IF(EmpData[[#This Row],[Age]] &lt; 50, "40-49",
            "50+"
        )
    )
)</f>
        <v>40-49</v>
      </c>
    </row>
  </sheetData>
  <dataConsolidate link="1"/>
  <phoneticPr fontId="19" type="noConversion"/>
  <conditionalFormatting sqref="F2:F101">
    <cfRule type="uniqueValues" dxfId="3" priority="1"/>
    <cfRule type="uniqueValues" dxfId="2" priority="2"/>
  </conditionalFormatting>
  <conditionalFormatting sqref="I2:I101">
    <cfRule type="containsBlanks" dxfId="1" priority="6">
      <formula>LEN(TRIM(I2))=0</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5" operator="containsText" id="{15F95895-5FC1-4ECC-9550-0EBB40C11FA5}">
            <xm:f>NOT(ISERROR(SEARCH($O$3,O2)))</xm:f>
            <xm:f>$O$3</xm:f>
            <x14:dxf>
              <fill>
                <patternFill>
                  <bgColor theme="5" tint="0.39994506668294322"/>
                </patternFill>
              </fill>
            </x14:dxf>
          </x14:cfRule>
          <xm:sqref>O2:O101</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9A2EB-D25A-456B-AC1B-C7E25A4C2038}">
  <sheetPr>
    <tabColor rgb="FFFF3399"/>
  </sheetPr>
  <dimension ref="A1"/>
  <sheetViews>
    <sheetView zoomScale="57" zoomScaleNormal="40" workbookViewId="0">
      <selection activeCell="E4" sqref="E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615C8-3CF0-44DF-932B-C50DB8363B72}">
  <dimension ref="A2:K12"/>
  <sheetViews>
    <sheetView topLeftCell="B1" workbookViewId="0">
      <selection activeCell="E17" sqref="E17"/>
    </sheetView>
  </sheetViews>
  <sheetFormatPr defaultRowHeight="14.5" x14ac:dyDescent="0.35"/>
  <cols>
    <col min="1" max="1" width="13.90625" bestFit="1" customWidth="1"/>
    <col min="2" max="2" width="13.36328125" bestFit="1" customWidth="1"/>
    <col min="3" max="3" width="15.26953125" bestFit="1" customWidth="1"/>
    <col min="4" max="4" width="19.7265625" bestFit="1" customWidth="1"/>
    <col min="5" max="5" width="15.26953125" bestFit="1" customWidth="1"/>
    <col min="6" max="6" width="5" bestFit="1" customWidth="1"/>
    <col min="7" max="7" width="10.7265625" bestFit="1" customWidth="1"/>
    <col min="8" max="9" width="15.26953125" bestFit="1" customWidth="1"/>
    <col min="10" max="10" width="12" bestFit="1" customWidth="1"/>
  </cols>
  <sheetData>
    <row r="2" spans="1:11" x14ac:dyDescent="0.35">
      <c r="H2" t="s">
        <v>226</v>
      </c>
    </row>
    <row r="3" spans="1:11" x14ac:dyDescent="0.35">
      <c r="A3" t="s">
        <v>224</v>
      </c>
      <c r="B3" t="s">
        <v>225</v>
      </c>
      <c r="C3" s="27" t="s">
        <v>222</v>
      </c>
      <c r="D3" t="s">
        <v>203</v>
      </c>
      <c r="G3" t="s">
        <v>191</v>
      </c>
      <c r="H3" t="s">
        <v>227</v>
      </c>
      <c r="I3" t="s">
        <v>228</v>
      </c>
    </row>
    <row r="4" spans="1:11" x14ac:dyDescent="0.35">
      <c r="A4">
        <v>100</v>
      </c>
      <c r="B4" s="5">
        <v>39.200000000000003</v>
      </c>
      <c r="C4" s="26">
        <v>120386.27</v>
      </c>
      <c r="D4">
        <v>100</v>
      </c>
      <c r="G4" t="str">
        <f>TEXT(D4,"#,##")</f>
        <v>100</v>
      </c>
      <c r="H4" t="str">
        <f>TEXT(C4,"$#,##,.0K")</f>
        <v>$120.4K</v>
      </c>
      <c r="I4" t="str">
        <f>TEXT(B4,0)</f>
        <v>39</v>
      </c>
      <c r="J4" t="str">
        <f>TEXT(E9,"#,##")</f>
        <v>40</v>
      </c>
      <c r="K4" t="str">
        <f>TEXT(F9,"#,##")</f>
        <v>60</v>
      </c>
    </row>
    <row r="7" spans="1:11" x14ac:dyDescent="0.35">
      <c r="E7" s="12" t="s">
        <v>204</v>
      </c>
    </row>
    <row r="8" spans="1:11" x14ac:dyDescent="0.35">
      <c r="E8" t="s">
        <v>29</v>
      </c>
      <c r="F8" t="s">
        <v>16</v>
      </c>
      <c r="G8" t="s">
        <v>202</v>
      </c>
    </row>
    <row r="9" spans="1:11" x14ac:dyDescent="0.35">
      <c r="D9" t="s">
        <v>229</v>
      </c>
      <c r="E9">
        <v>40</v>
      </c>
      <c r="F9">
        <v>60</v>
      </c>
      <c r="G9">
        <v>100</v>
      </c>
    </row>
    <row r="12" spans="1:11" x14ac:dyDescent="0.35">
      <c r="H12" t="str">
        <f>TEXT(C12,"#,##")</f>
        <v/>
      </c>
      <c r="I12" t="str">
        <f>TEXT(D12,"#,##")</f>
        <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C4B1C-3C13-42AC-9DD9-39E3699A839C}">
  <dimension ref="A3:B6"/>
  <sheetViews>
    <sheetView tabSelected="1" workbookViewId="0">
      <selection activeCell="I19" sqref="I19"/>
    </sheetView>
  </sheetViews>
  <sheetFormatPr defaultRowHeight="14.5" x14ac:dyDescent="0.35"/>
  <cols>
    <col min="1" max="1" width="12.36328125" bestFit="1" customWidth="1"/>
    <col min="2" max="2" width="19.7265625" bestFit="1" customWidth="1"/>
  </cols>
  <sheetData>
    <row r="3" spans="1:2" x14ac:dyDescent="0.35">
      <c r="A3" s="12" t="s">
        <v>201</v>
      </c>
      <c r="B3" t="s">
        <v>203</v>
      </c>
    </row>
    <row r="4" spans="1:2" x14ac:dyDescent="0.35">
      <c r="A4" s="13" t="s">
        <v>187</v>
      </c>
      <c r="B4" s="28">
        <v>0.71</v>
      </c>
    </row>
    <row r="5" spans="1:2" x14ac:dyDescent="0.35">
      <c r="A5" s="13" t="s">
        <v>207</v>
      </c>
      <c r="B5" s="28">
        <v>0.28999999999999998</v>
      </c>
    </row>
    <row r="6" spans="1:2" x14ac:dyDescent="0.35">
      <c r="A6" s="13" t="s">
        <v>202</v>
      </c>
      <c r="B6" s="28">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56E61-973A-4A54-BE7C-C509DF105EAA}">
  <sheetPr>
    <tabColor theme="5" tint="0.39997558519241921"/>
  </sheetPr>
  <dimension ref="A1:H30"/>
  <sheetViews>
    <sheetView workbookViewId="0">
      <selection activeCell="A14" sqref="A14"/>
    </sheetView>
  </sheetViews>
  <sheetFormatPr defaultRowHeight="14.5" x14ac:dyDescent="0.35"/>
  <cols>
    <col min="1" max="1" width="26" customWidth="1"/>
    <col min="2" max="2" width="28.81640625" bestFit="1" customWidth="1"/>
    <col min="3" max="3" width="12.36328125" bestFit="1" customWidth="1"/>
    <col min="4" max="4" width="19.7265625" bestFit="1" customWidth="1"/>
    <col min="6" max="6" width="27.453125" customWidth="1"/>
    <col min="7" max="7" width="14.26953125" customWidth="1"/>
    <col min="13" max="13" width="15.26953125" bestFit="1" customWidth="1"/>
    <col min="14" max="14" width="19.7265625" bestFit="1" customWidth="1"/>
    <col min="15" max="15" width="23.36328125" bestFit="1" customWidth="1"/>
    <col min="16" max="16" width="19.7265625" bestFit="1" customWidth="1"/>
    <col min="17" max="17" width="23.36328125" bestFit="1" customWidth="1"/>
    <col min="18" max="18" width="24.54296875" bestFit="1" customWidth="1"/>
    <col min="19" max="19" width="28.1796875" bestFit="1" customWidth="1"/>
  </cols>
  <sheetData>
    <row r="1" spans="1:8" x14ac:dyDescent="0.35">
      <c r="A1" s="8" t="s">
        <v>191</v>
      </c>
      <c r="B1">
        <f>COUNTA(EmpData[Employee_ID])</f>
        <v>100</v>
      </c>
      <c r="D1" s="8" t="s">
        <v>5</v>
      </c>
      <c r="E1" s="8" t="s">
        <v>207</v>
      </c>
      <c r="F1" s="8" t="s">
        <v>223</v>
      </c>
      <c r="G1" s="8" t="s">
        <v>200</v>
      </c>
    </row>
    <row r="2" spans="1:8" x14ac:dyDescent="0.35">
      <c r="A2" s="8" t="s">
        <v>195</v>
      </c>
      <c r="B2">
        <f>COUNTIF(EmpData[Status], "Active")</f>
        <v>71</v>
      </c>
      <c r="D2" t="s">
        <v>37</v>
      </c>
      <c r="E2" s="7">
        <f>COUNTIFS(EmpData[Department], D2, EmpData[Status], "Exited")</f>
        <v>3</v>
      </c>
      <c r="F2">
        <f>COUNTIF(EmpData[Department],D2)</f>
        <v>10</v>
      </c>
      <c r="G2" s="16">
        <f>E2/F2</f>
        <v>0.3</v>
      </c>
    </row>
    <row r="3" spans="1:8" x14ac:dyDescent="0.35">
      <c r="A3" s="8" t="s">
        <v>196</v>
      </c>
      <c r="B3">
        <f>COUNTIF(EmpData[Status], "Exited")</f>
        <v>29</v>
      </c>
      <c r="D3" t="s">
        <v>24</v>
      </c>
      <c r="E3" s="7">
        <f>COUNTIFS(EmpData[Department], D3, EmpData[Status], "Exited")</f>
        <v>7</v>
      </c>
      <c r="F3">
        <f>COUNTIF(EmpData[Department],D3)</f>
        <v>18</v>
      </c>
      <c r="G3" s="16">
        <f t="shared" ref="G3:G8" si="0">E3/F3</f>
        <v>0.3888888888888889</v>
      </c>
    </row>
    <row r="4" spans="1:8" x14ac:dyDescent="0.35">
      <c r="A4" s="8" t="s">
        <v>192</v>
      </c>
      <c r="B4" s="9">
        <f>AVERAGE(EmpData[Salary])</f>
        <v>120386.27</v>
      </c>
      <c r="D4" t="s">
        <v>68</v>
      </c>
      <c r="E4" s="7">
        <f>COUNTIFS(EmpData[Department], D4, EmpData[Status], "Exited")</f>
        <v>4</v>
      </c>
      <c r="F4">
        <f>COUNTIF(EmpData[Department],D4)</f>
        <v>10</v>
      </c>
      <c r="G4" s="16">
        <f t="shared" si="0"/>
        <v>0.4</v>
      </c>
    </row>
    <row r="5" spans="1:8" x14ac:dyDescent="0.35">
      <c r="A5" s="8" t="s">
        <v>197</v>
      </c>
      <c r="B5" s="10">
        <f>AVERAGE(EmpData[Age])</f>
        <v>39.200000000000003</v>
      </c>
      <c r="D5" t="s">
        <v>17</v>
      </c>
      <c r="E5" s="7">
        <f>COUNTIFS(EmpData[Department], D5, EmpData[Status], "Exited")</f>
        <v>3</v>
      </c>
      <c r="F5">
        <f>COUNTIF(EmpData[Department],D5)</f>
        <v>21</v>
      </c>
      <c r="G5" s="16">
        <f t="shared" si="0"/>
        <v>0.14285714285714285</v>
      </c>
    </row>
    <row r="6" spans="1:8" x14ac:dyDescent="0.35">
      <c r="A6" s="8" t="s">
        <v>193</v>
      </c>
      <c r="B6">
        <f>COUNTIFS(EmpData[Gender], "Male")</f>
        <v>60</v>
      </c>
      <c r="D6" t="s">
        <v>58</v>
      </c>
      <c r="E6" s="7">
        <f>COUNTIFS(EmpData[Department], D6, EmpData[Status], "Exited")</f>
        <v>3</v>
      </c>
      <c r="F6">
        <f>COUNTIF(EmpData[Department],D6)</f>
        <v>13</v>
      </c>
      <c r="G6" s="16">
        <f t="shared" si="0"/>
        <v>0.23076923076923078</v>
      </c>
    </row>
    <row r="7" spans="1:8" x14ac:dyDescent="0.35">
      <c r="A7" s="8" t="s">
        <v>194</v>
      </c>
      <c r="B7">
        <f>COUNTIFS(EmpData[Gender], "Female")</f>
        <v>40</v>
      </c>
      <c r="D7" t="s">
        <v>30</v>
      </c>
      <c r="E7" s="7">
        <f>COUNTIFS(EmpData[Department], D7, EmpData[Status], "Exited")</f>
        <v>3</v>
      </c>
      <c r="F7">
        <f>COUNTIF(EmpData[Department],D7)</f>
        <v>12</v>
      </c>
      <c r="G7" s="16">
        <f t="shared" si="0"/>
        <v>0.25</v>
      </c>
    </row>
    <row r="8" spans="1:8" x14ac:dyDescent="0.35">
      <c r="A8" s="8" t="s">
        <v>198</v>
      </c>
      <c r="B8" s="5">
        <f>AVERAGEIFS(EmpData[Age],EmpData[Gender], "Male")</f>
        <v>38.93333333333333</v>
      </c>
      <c r="D8" t="s">
        <v>46</v>
      </c>
      <c r="E8" s="7">
        <f>COUNTIFS(EmpData[Department], D8, EmpData[Status], "Exited")</f>
        <v>6</v>
      </c>
      <c r="F8">
        <f>COUNTIF(EmpData[Department],D8)</f>
        <v>16</v>
      </c>
      <c r="G8" s="16">
        <f t="shared" si="0"/>
        <v>0.375</v>
      </c>
    </row>
    <row r="9" spans="1:8" x14ac:dyDescent="0.35">
      <c r="A9" s="8" t="s">
        <v>199</v>
      </c>
      <c r="B9" s="5">
        <f>AVERAGEIFS(EmpData[Age],EmpData[Gender], "Female")</f>
        <v>39.6</v>
      </c>
      <c r="F9">
        <f>SUM(F2:F8)</f>
        <v>100</v>
      </c>
    </row>
    <row r="10" spans="1:8" x14ac:dyDescent="0.35">
      <c r="A10" s="8" t="s">
        <v>200</v>
      </c>
      <c r="B10" s="11">
        <f>B3/B1</f>
        <v>0.28999999999999998</v>
      </c>
    </row>
    <row r="12" spans="1:8" x14ac:dyDescent="0.35">
      <c r="C12" s="12" t="s">
        <v>188</v>
      </c>
      <c r="D12" t="s">
        <v>207</v>
      </c>
    </row>
    <row r="13" spans="1:8" x14ac:dyDescent="0.35">
      <c r="A13" s="28">
        <f>$B$10</f>
        <v>0.28999999999999998</v>
      </c>
      <c r="F13" s="17"/>
      <c r="G13" s="18"/>
      <c r="H13" s="19"/>
    </row>
    <row r="14" spans="1:8" x14ac:dyDescent="0.35">
      <c r="C14" s="12" t="s">
        <v>201</v>
      </c>
      <c r="D14" t="s">
        <v>203</v>
      </c>
      <c r="F14" s="20"/>
      <c r="G14" s="21"/>
      <c r="H14" s="22"/>
    </row>
    <row r="15" spans="1:8" x14ac:dyDescent="0.35">
      <c r="C15" s="13" t="s">
        <v>218</v>
      </c>
      <c r="D15">
        <v>10</v>
      </c>
      <c r="F15" s="20"/>
      <c r="G15" s="21"/>
      <c r="H15" s="22"/>
    </row>
    <row r="16" spans="1:8" x14ac:dyDescent="0.35">
      <c r="C16" s="13" t="s">
        <v>219</v>
      </c>
      <c r="D16">
        <v>13</v>
      </c>
      <c r="F16" s="20"/>
      <c r="G16" s="21"/>
      <c r="H16" s="22"/>
    </row>
    <row r="17" spans="3:8" x14ac:dyDescent="0.35">
      <c r="C17" s="13" t="s">
        <v>220</v>
      </c>
      <c r="D17">
        <v>3</v>
      </c>
      <c r="F17" s="20"/>
      <c r="G17" s="21"/>
      <c r="H17" s="22"/>
    </row>
    <row r="18" spans="3:8" x14ac:dyDescent="0.35">
      <c r="C18" s="13" t="s">
        <v>221</v>
      </c>
      <c r="D18">
        <v>3</v>
      </c>
      <c r="F18" s="20"/>
      <c r="G18" s="21"/>
      <c r="H18" s="22"/>
    </row>
    <row r="19" spans="3:8" x14ac:dyDescent="0.35">
      <c r="C19" s="13" t="s">
        <v>202</v>
      </c>
      <c r="D19">
        <v>29</v>
      </c>
      <c r="F19" s="20"/>
      <c r="G19" s="21"/>
      <c r="H19" s="22"/>
    </row>
    <row r="20" spans="3:8" x14ac:dyDescent="0.35">
      <c r="F20" s="20"/>
      <c r="G20" s="21"/>
      <c r="H20" s="22"/>
    </row>
    <row r="21" spans="3:8" x14ac:dyDescent="0.35">
      <c r="F21" s="20"/>
      <c r="G21" s="21"/>
      <c r="H21" s="22"/>
    </row>
    <row r="22" spans="3:8" x14ac:dyDescent="0.35">
      <c r="F22" s="20"/>
      <c r="G22" s="21"/>
      <c r="H22" s="22"/>
    </row>
    <row r="23" spans="3:8" x14ac:dyDescent="0.35">
      <c r="F23" s="20"/>
      <c r="G23" s="21"/>
      <c r="H23" s="22"/>
    </row>
    <row r="24" spans="3:8" x14ac:dyDescent="0.35">
      <c r="F24" s="20"/>
      <c r="G24" s="21"/>
      <c r="H24" s="22"/>
    </row>
    <row r="25" spans="3:8" x14ac:dyDescent="0.35">
      <c r="F25" s="20"/>
      <c r="G25" s="21"/>
      <c r="H25" s="22"/>
    </row>
    <row r="26" spans="3:8" x14ac:dyDescent="0.35">
      <c r="F26" s="20"/>
      <c r="G26" s="21"/>
      <c r="H26" s="22"/>
    </row>
    <row r="27" spans="3:8" x14ac:dyDescent="0.35">
      <c r="F27" s="20"/>
      <c r="G27" s="21"/>
      <c r="H27" s="22"/>
    </row>
    <row r="28" spans="3:8" x14ac:dyDescent="0.35">
      <c r="F28" s="20"/>
      <c r="G28" s="21"/>
      <c r="H28" s="22"/>
    </row>
    <row r="29" spans="3:8" x14ac:dyDescent="0.35">
      <c r="F29" s="20"/>
      <c r="G29" s="21"/>
      <c r="H29" s="22"/>
    </row>
    <row r="30" spans="3:8" x14ac:dyDescent="0.35">
      <c r="F30" s="23"/>
      <c r="G30" s="24"/>
      <c r="H30" s="25"/>
    </row>
  </sheetData>
  <pageMargins left="0.7" right="0.7" top="0.75" bottom="0.75" header="0.3" footer="0.3"/>
  <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971EA6-6328-4476-AB55-399580CAF0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Dpt Headcount</vt:lpstr>
      <vt:lpstr>Salary Distribution</vt:lpstr>
      <vt:lpstr>Employment Type Breakdown</vt:lpstr>
      <vt:lpstr>Avereage Salary by Dpt</vt:lpstr>
      <vt:lpstr>Age_Distribution</vt:lpstr>
      <vt:lpstr>Hiring Trend</vt:lpstr>
      <vt:lpstr>GENDER HEADCOUNT</vt:lpstr>
      <vt:lpstr>HR_EMPLOYEE_DATASET</vt:lpstr>
      <vt:lpstr>DASHBOARD</vt:lpstr>
      <vt:lpstr>VALUES FOR DISPLAY</vt:lpstr>
      <vt:lpstr>ATTRITION RATE</vt:lpstr>
      <vt:lpstr>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cathy kamau</dc:creator>
  <cp:lastModifiedBy>cathy kamau</cp:lastModifiedBy>
  <dcterms:created xsi:type="dcterms:W3CDTF">2025-12-11T09:59:32Z</dcterms:created>
  <dcterms:modified xsi:type="dcterms:W3CDTF">2025-12-15T08:26:27Z</dcterms:modified>
</cp:coreProperties>
</file>